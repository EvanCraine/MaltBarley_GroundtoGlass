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murphy/Dropbox/evan.craine@wsu.edu/gitHub/G2G/"/>
    </mc:Choice>
  </mc:AlternateContent>
  <xr:revisionPtr revIDLastSave="0" documentId="8_{438785A2-48F7-9340-B556-7B5D227B32E4}" xr6:coauthVersionLast="47" xr6:coauthVersionMax="47" xr10:uidLastSave="{00000000-0000-0000-0000-000000000000}"/>
  <bookViews>
    <workbookView xWindow="2980" yWindow="540" windowWidth="37760" windowHeight="21620" activeTab="12" xr2:uid="{00000000-000D-0000-FFFF-FFFF00000000}"/>
  </bookViews>
  <sheets>
    <sheet name="QAQC" sheetId="15" r:id="rId1"/>
    <sheet name="All" sheetId="1" r:id="rId2"/>
    <sheet name="Mouthfeel" sheetId="3" r:id="rId3"/>
    <sheet name="CATA_Mouthfeel" sheetId="4" r:id="rId4"/>
    <sheet name="Taste" sheetId="6" r:id="rId5"/>
    <sheet name="XLSTAT_20201111_110229_1_HID" sheetId="11" state="hidden" r:id="rId6"/>
    <sheet name="CATA_Taste" sheetId="7" r:id="rId7"/>
    <sheet name="Aroma_Primary" sheetId="9" r:id="rId8"/>
    <sheet name="CATA_Aroma_Primary" sheetId="10" r:id="rId9"/>
    <sheet name="FilterLenient" sheetId="12" r:id="rId10"/>
    <sheet name="XLSTAT_20210228_143815_1_HID" sheetId="19" state="hidden" r:id="rId11"/>
    <sheet name="CATA_FilterLenient" sheetId="16" r:id="rId12"/>
    <sheet name="CATA_FilterLenient_McNemar" sheetId="18" r:id="rId13"/>
    <sheet name="XLSTAT_20201111_150415_1_HID" sheetId="17" state="hidden" r:id="rId14"/>
    <sheet name="XLSTAT_20201111_105027_1_HID" sheetId="8" state="hidden" r:id="rId15"/>
    <sheet name="XLSTAT_20201111_104356_1_HID" sheetId="5" state="hidden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55" i="12" l="1"/>
  <c r="T554" i="12"/>
</calcChain>
</file>

<file path=xl/sharedStrings.xml><?xml version="1.0" encoding="utf-8"?>
<sst xmlns="http://schemas.openxmlformats.org/spreadsheetml/2006/main" count="5067" uniqueCount="640">
  <si>
    <t>Panelist</t>
  </si>
  <si>
    <t>Genotype</t>
  </si>
  <si>
    <t>DescCoded</t>
  </si>
  <si>
    <t>mouthfeel_afterfeel_slippery_high</t>
  </si>
  <si>
    <t>mouthfeel_afterfeel_slippery_low</t>
  </si>
  <si>
    <t>mouthfeel_afterfeel_astringency_drying</t>
  </si>
  <si>
    <t>mouthfeel_afterfeel_astringency_low</t>
  </si>
  <si>
    <t>mouthfeel_body_particulate_smooth</t>
  </si>
  <si>
    <t>mouthfeel_body_particulate_gritty</t>
  </si>
  <si>
    <t>mouthfeel_body_density_light</t>
  </si>
  <si>
    <t>mouthfeel_body_density_heavy</t>
  </si>
  <si>
    <t>mouthfeel_body_viscosity_thin</t>
  </si>
  <si>
    <t>mouthfeel_body_viscosity_thick</t>
  </si>
  <si>
    <t>mouthfeel_effervescence_bubbledensity_dispersed</t>
  </si>
  <si>
    <t>mouthfeel_effervescence_bubbledensity_compact</t>
  </si>
  <si>
    <t>mouthfeel_effervescence_bubblesize_small</t>
  </si>
  <si>
    <t>mouthfeel_effervescence_bubblesize_large</t>
  </si>
  <si>
    <t>mouthfeel_effervescence_carbonation_burning</t>
  </si>
  <si>
    <t>mouthfeel_irritation_alcohol_warm</t>
  </si>
  <si>
    <t>mouthfeel_irritation_alcohol_burning</t>
  </si>
  <si>
    <t>mouthfeel_irritation_carbonation_tingle</t>
  </si>
  <si>
    <t>mouthfeel_irritation_cooling</t>
  </si>
  <si>
    <t>spicy</t>
  </si>
  <si>
    <t>taste_sour</t>
  </si>
  <si>
    <t>taste_bitter</t>
  </si>
  <si>
    <t>taste_salty</t>
  </si>
  <si>
    <t>taste_sweet</t>
  </si>
  <si>
    <t>aroma_alcoholic</t>
  </si>
  <si>
    <t>aroma_alcoholic_rum</t>
  </si>
  <si>
    <t>aroma_burnt</t>
  </si>
  <si>
    <t>aroma_burnt_coffee</t>
  </si>
  <si>
    <t>aroma_burnt_smoke</t>
  </si>
  <si>
    <t>aroma_cereal</t>
  </si>
  <si>
    <t>aroma_cereal_biscuit</t>
  </si>
  <si>
    <t>aroma_cereal_bread</t>
  </si>
  <si>
    <t>aroma_cereal_grahamcracker</t>
  </si>
  <si>
    <t>aroma_cereal_greenmalt</t>
  </si>
  <si>
    <t>aroma_cereal_malt</t>
  </si>
  <si>
    <t>aroma_cereal_roastedcereal</t>
  </si>
  <si>
    <t>aroma_cereal_toast</t>
  </si>
  <si>
    <t>aroma_dairy</t>
  </si>
  <si>
    <t>aroma_dairy_butter</t>
  </si>
  <si>
    <t>aroma_dairy_cream</t>
  </si>
  <si>
    <t>aroma_dairy_milk</t>
  </si>
  <si>
    <t>aroma_earthy</t>
  </si>
  <si>
    <t>aroma_earthy_mold</t>
  </si>
  <si>
    <t>aroma_earthy_mushroom</t>
  </si>
  <si>
    <t>aroma_earthy_musty</t>
  </si>
  <si>
    <t>aroma_earthy_soil</t>
  </si>
  <si>
    <t>aroma_earthy_truffle</t>
  </si>
  <si>
    <t>aroma_earthy_moss</t>
  </si>
  <si>
    <t>aroma_floral</t>
  </si>
  <si>
    <t>aroma_floral_citronella</t>
  </si>
  <si>
    <t>aroma_floral_hawthorn</t>
  </si>
  <si>
    <t>aroma_floral_jasmine</t>
  </si>
  <si>
    <t>aroma_floral_perfume</t>
  </si>
  <si>
    <t>aroma_floral_rose</t>
  </si>
  <si>
    <t>aroma_floral_violet</t>
  </si>
  <si>
    <t>aroma_fruity</t>
  </si>
  <si>
    <t>aroma_fruity_apple</t>
  </si>
  <si>
    <t>aroma_fruity_apple_cider</t>
  </si>
  <si>
    <t>aroma_fruity_apple_greenapple</t>
  </si>
  <si>
    <t>aroma_fruity_apple_sourapple</t>
  </si>
  <si>
    <t>aroma_fruity_berry</t>
  </si>
  <si>
    <t>aroma_fruity_citrus</t>
  </si>
  <si>
    <t>aroma_fruity_citrus_grapefruit</t>
  </si>
  <si>
    <t>aroma_fruity_citrus_lemon</t>
  </si>
  <si>
    <t>aroma_fruity_citrus_lemon_peel</t>
  </si>
  <si>
    <t>aroma_fruity_citrus_lime</t>
  </si>
  <si>
    <t>aroma_fruity_citrus_lime_peel</t>
  </si>
  <si>
    <t>aroma_fruity_citrus_orange</t>
  </si>
  <si>
    <t>aroma_fruity_citrus_orange_peel</t>
  </si>
  <si>
    <t>aroma_fruity_coconut</t>
  </si>
  <si>
    <t>aroma_fruity_differentfruits</t>
  </si>
  <si>
    <t>aroma_fruity_cannedfruits</t>
  </si>
  <si>
    <t>aroma_fruity_melon</t>
  </si>
  <si>
    <t>aroma_fruity_pear</t>
  </si>
  <si>
    <t>aroma_fruity_stonefruit</t>
  </si>
  <si>
    <t>aroma_fruity_stonefruit_apricot</t>
  </si>
  <si>
    <t>aroma_fruity_stonefruit_peach</t>
  </si>
  <si>
    <t>aroma_fruity_tropical</t>
  </si>
  <si>
    <t>aroma_fruity_tropical_banana</t>
  </si>
  <si>
    <t>aroma_fruity_tropical_mango</t>
  </si>
  <si>
    <t>aroma_fruity_tropical_pineapple</t>
  </si>
  <si>
    <t>aroma_grassy</t>
  </si>
  <si>
    <t>aroma_grassy_freshcutgrass</t>
  </si>
  <si>
    <t>aroma_grassy_greenleaves</t>
  </si>
  <si>
    <t>aroma_grassy_hay</t>
  </si>
  <si>
    <t>aroma_herbacious</t>
  </si>
  <si>
    <t>aroma_herbacious_oregano</t>
  </si>
  <si>
    <t>aroma_herbacious_rosemary</t>
  </si>
  <si>
    <t>aroma_herbacious_tea</t>
  </si>
  <si>
    <t>aroma_herbacious_thyme</t>
  </si>
  <si>
    <t>aroma_meaty</t>
  </si>
  <si>
    <t>aroma_medicinal</t>
  </si>
  <si>
    <t>aroma_medicinal_bandaid</t>
  </si>
  <si>
    <t>aroma_medicinal_burntrubber</t>
  </si>
  <si>
    <t>aroma_medicinal_rubber</t>
  </si>
  <si>
    <t>aroma_metallic</t>
  </si>
  <si>
    <t>aroma_nutty</t>
  </si>
  <si>
    <t>aroma_nutty_almond</t>
  </si>
  <si>
    <t>aroma_nutty_marzipan</t>
  </si>
  <si>
    <t>aroma_nutty_walnut</t>
  </si>
  <si>
    <t>aroma_ripe</t>
  </si>
  <si>
    <t>aroma_ripe_sweat</t>
  </si>
  <si>
    <t>aroma_solvent</t>
  </si>
  <si>
    <t>aroma_solvent_chemical</t>
  </si>
  <si>
    <t>aroma_solvent_petroleum</t>
  </si>
  <si>
    <t>aroma_spicy</t>
  </si>
  <si>
    <t>aroma_spicy_blackpepper</t>
  </si>
  <si>
    <t>aroma_spicy_clove</t>
  </si>
  <si>
    <t>aroma_spicy_coriander</t>
  </si>
  <si>
    <t>aroma_stale</t>
  </si>
  <si>
    <t>aroma_stale_cardboard</t>
  </si>
  <si>
    <t>aroma_stale_paper</t>
  </si>
  <si>
    <t>aroma_sweetaromatic</t>
  </si>
  <si>
    <t>aroma_sweetaromatic_bubblegum</t>
  </si>
  <si>
    <t>aroma_sweetaromatic_candy</t>
  </si>
  <si>
    <t>aroma_sweetaromatic_caramel</t>
  </si>
  <si>
    <t>aroma_sweetaromatic_honey</t>
  </si>
  <si>
    <t>aroma_sweetaromatic_sugarcane</t>
  </si>
  <si>
    <t>aroma_sweetaromatic_toffee</t>
  </si>
  <si>
    <t>aroma_vegetal</t>
  </si>
  <si>
    <t>aroma_vegetal_carrots</t>
  </si>
  <si>
    <t>aroma_vegetal_celery</t>
  </si>
  <si>
    <t>aroma_vegetal_corn</t>
  </si>
  <si>
    <t>aroma_vegetal_corn_cooked</t>
  </si>
  <si>
    <t>aroma_vegetal_cucumber</t>
  </si>
  <si>
    <t>aroma_vegetal_peas</t>
  </si>
  <si>
    <t>aroma_waxy</t>
  </si>
  <si>
    <t>aroma_waxy_fat</t>
  </si>
  <si>
    <t>aroma_waxy_oil</t>
  </si>
  <si>
    <t>aroma_waxy_soap</t>
  </si>
  <si>
    <t>aroma_waxy_tallow</t>
  </si>
  <si>
    <t>aroma_woody</t>
  </si>
  <si>
    <t>aroma_woody_eucalyptus</t>
  </si>
  <si>
    <t>aroma_woody_oak</t>
  </si>
  <si>
    <t>aroma_woody_pine</t>
  </si>
  <si>
    <t>aroma_woody_cedar</t>
  </si>
  <si>
    <t>Copeland</t>
  </si>
  <si>
    <t>floral, light, smooth, herbacious</t>
  </si>
  <si>
    <t>woody, light, grassy, sour</t>
  </si>
  <si>
    <t>light, bitter</t>
  </si>
  <si>
    <t>light, grassy</t>
  </si>
  <si>
    <t xml:space="preserve">sour, effervescence_carbonation_burning </t>
  </si>
  <si>
    <t>drying</t>
  </si>
  <si>
    <t>sour, effervescence_carbonation_tingle</t>
  </si>
  <si>
    <t>drying, sour</t>
  </si>
  <si>
    <t>fruity, citrus</t>
  </si>
  <si>
    <t>fruity</t>
  </si>
  <si>
    <t>cereal, malt</t>
  </si>
  <si>
    <t>cereal, malt, grain, sour</t>
  </si>
  <si>
    <t>cereal, biscuit, nutty</t>
  </si>
  <si>
    <t>woody, floral</t>
  </si>
  <si>
    <t>sweet aromatic, fruity</t>
  </si>
  <si>
    <t>floral, grassy, herbacious</t>
  </si>
  <si>
    <t>citrus, light</t>
  </si>
  <si>
    <t>stale, waxy, fat</t>
  </si>
  <si>
    <t>bitter</t>
  </si>
  <si>
    <t>cereal, malt, bitter, vegetal, cucumber</t>
  </si>
  <si>
    <t>cereal, malt, vegetal, corn, cooked corn, bitter</t>
  </si>
  <si>
    <t>earthy, soil, heavy, thick</t>
  </si>
  <si>
    <t>fruity, citrus, lemon, lemon peel, bitter</t>
  </si>
  <si>
    <t>heavy</t>
  </si>
  <si>
    <t>light</t>
  </si>
  <si>
    <t>woody, grassy</t>
  </si>
  <si>
    <t>grassy, spicy, ripe</t>
  </si>
  <si>
    <t>spicy, sweet</t>
  </si>
  <si>
    <t>ripe, sweat</t>
  </si>
  <si>
    <t>medicinal, band-aid</t>
  </si>
  <si>
    <t>medicinal, rubber</t>
  </si>
  <si>
    <t>herbacious, earthy, musty</t>
  </si>
  <si>
    <t>light, cereal, malt</t>
  </si>
  <si>
    <t>medicinal</t>
  </si>
  <si>
    <t>grassy</t>
  </si>
  <si>
    <t>tart, fruity</t>
  </si>
  <si>
    <t>ripe</t>
  </si>
  <si>
    <t>sweet</t>
  </si>
  <si>
    <t>sweet, light</t>
  </si>
  <si>
    <t>light, sweet</t>
  </si>
  <si>
    <t>cereal, slippery, smooth, small bubbles, heavy</t>
  </si>
  <si>
    <t>cereal, nutty, thick</t>
  </si>
  <si>
    <t>heavy, cereal, malt, thick</t>
  </si>
  <si>
    <t>cereal, grain, light, bitter, waxy</t>
  </si>
  <si>
    <t>woody, bitter, fruity, stone fruit</t>
  </si>
  <si>
    <t>bitter, flat</t>
  </si>
  <si>
    <t>drying, light</t>
  </si>
  <si>
    <t>light, metallic</t>
  </si>
  <si>
    <t>fruity, coconut, melon</t>
  </si>
  <si>
    <t>smooth, dairy, butter</t>
  </si>
  <si>
    <t>smooth</t>
  </si>
  <si>
    <t>earthy, heavy</t>
  </si>
  <si>
    <t>heavy, sour, drying</t>
  </si>
  <si>
    <t>sour</t>
  </si>
  <si>
    <t>cereal, malt, sharp</t>
  </si>
  <si>
    <t>fruity, bubbly</t>
  </si>
  <si>
    <t>smooth, small bubbles</t>
  </si>
  <si>
    <t>sweet, salty, cooling, spicy, thin, drying</t>
  </si>
  <si>
    <t>woody, cedar, heavy, slipper, bitter</t>
  </si>
  <si>
    <t>floral, fruity, citrus, sweet, effervescence_carbonation_burning, heavy, bitter</t>
  </si>
  <si>
    <t>earthy, bitter, ripe, moss</t>
  </si>
  <si>
    <t>light, sharp</t>
  </si>
  <si>
    <t>sharp, bitter</t>
  </si>
  <si>
    <t>heavy, bitter</t>
  </si>
  <si>
    <t>sour, light</t>
  </si>
  <si>
    <t>sharp</t>
  </si>
  <si>
    <t>fruity, light</t>
  </si>
  <si>
    <t>sour, woody</t>
  </si>
  <si>
    <t>earthy, sour, nutty</t>
  </si>
  <si>
    <t>spicy, burnt, coffee</t>
  </si>
  <si>
    <t>floral, fruity, pear, heavy, warm</t>
  </si>
  <si>
    <t>sour, fruity, citrus, light, gritty</t>
  </si>
  <si>
    <t>fruity, apple, cider, cooling, light</t>
  </si>
  <si>
    <t>burnt, cereal, toast, spicy</t>
  </si>
  <si>
    <t>cereal, bubbly</t>
  </si>
  <si>
    <t>woody, citrus</t>
  </si>
  <si>
    <t>spicy, fruity, berry, bubbly</t>
  </si>
  <si>
    <t>fruity, apple, green apple, spicy, black pepper, bitter, cooling</t>
  </si>
  <si>
    <t>spicy, black pepper, sweet</t>
  </si>
  <si>
    <t>earthy, nutty, sweet, small bubbles</t>
  </si>
  <si>
    <t>fruity, citrus, spicy, bitter</t>
  </si>
  <si>
    <t>light, smooth</t>
  </si>
  <si>
    <t>thin, sour, light</t>
  </si>
  <si>
    <t>smooth, cereal, grain</t>
  </si>
  <si>
    <t>nutty</t>
  </si>
  <si>
    <t>fruity, smooth, sweet</t>
  </si>
  <si>
    <t>bitter, smooth, floral</t>
  </si>
  <si>
    <t>smooth, bitter, thick</t>
  </si>
  <si>
    <t>woody, bitter, fruity</t>
  </si>
  <si>
    <t>fruity, citrus, orange, lemon</t>
  </si>
  <si>
    <t>fruity, lemon, bitter, tingle</t>
  </si>
  <si>
    <t>floral, earthy, sweet</t>
  </si>
  <si>
    <t>sweet, drying, bitter</t>
  </si>
  <si>
    <t>nutty, tingle, bitter</t>
  </si>
  <si>
    <t>earthy</t>
  </si>
  <si>
    <t>ripe, bitter, waxy</t>
  </si>
  <si>
    <t>thick, bitter</t>
  </si>
  <si>
    <t>ripe, sweet, fruity</t>
  </si>
  <si>
    <t>bitter, ripe</t>
  </si>
  <si>
    <t>sweet, earthy</t>
  </si>
  <si>
    <t>nutty, fruity</t>
  </si>
  <si>
    <t>light, bitter, fruity, different fruits, canned fruit</t>
  </si>
  <si>
    <t>light, tingle, bitter</t>
  </si>
  <si>
    <t>fruity, fruity, citrus, heavy</t>
  </si>
  <si>
    <t>light, citrus, fruity, apple, salty, bubbly</t>
  </si>
  <si>
    <t>grassy, fruity, melon, nutty</t>
  </si>
  <si>
    <t>medicinal, band-aid, alcoholic, rum, burnt</t>
  </si>
  <si>
    <t>light, sweet aromatic, fruity, citrus, grapefruit, slippery</t>
  </si>
  <si>
    <t>sweet, floral, cooling</t>
  </si>
  <si>
    <t>earthy, bitter, drying</t>
  </si>
  <si>
    <t>woody, sweet, drying</t>
  </si>
  <si>
    <t>nutty, bitter, alcohol_burning</t>
  </si>
  <si>
    <t>warm</t>
  </si>
  <si>
    <t>metallic</t>
  </si>
  <si>
    <t>cereal, malt, fruity, light</t>
  </si>
  <si>
    <t>cereal, malt, fruity</t>
  </si>
  <si>
    <t>light, fruity</t>
  </si>
  <si>
    <t>earthy, musty, bitter, heavy</t>
  </si>
  <si>
    <t>floral, cereal, grain</t>
  </si>
  <si>
    <t>light, earthy, musty, cereal, biscuit, sweet</t>
  </si>
  <si>
    <t>bitter, earthy</t>
  </si>
  <si>
    <t xml:space="preserve">light, drying </t>
  </si>
  <si>
    <t>sweet, cereal, malt, light</t>
  </si>
  <si>
    <t>warm, smooth, cereal, toast</t>
  </si>
  <si>
    <t>smooth, light</t>
  </si>
  <si>
    <t>thin</t>
  </si>
  <si>
    <t>light, sweet aromatic, honey</t>
  </si>
  <si>
    <t>light, cereal, malt, bitter</t>
  </si>
  <si>
    <t>smooth, sweet</t>
  </si>
  <si>
    <t>bitter, drying</t>
  </si>
  <si>
    <t>sweet aromatic, honey, vegetal, corn, cereal, malt, fruity</t>
  </si>
  <si>
    <t>fruity, spicy, clove, herbacious</t>
  </si>
  <si>
    <t>sour, sweet, medicinal, band-aid</t>
  </si>
  <si>
    <t>cereal, malt, solvent</t>
  </si>
  <si>
    <t>heavy, drying</t>
  </si>
  <si>
    <t>bitter, sour</t>
  </si>
  <si>
    <t>light, cereal, grain, sweet</t>
  </si>
  <si>
    <t>bitter, fruity</t>
  </si>
  <si>
    <t>bubbly, sour</t>
  </si>
  <si>
    <t>smooth, fruity, berry</t>
  </si>
  <si>
    <t>grassy, waxy</t>
  </si>
  <si>
    <t>woody, nutty</t>
  </si>
  <si>
    <t>floral, sweet</t>
  </si>
  <si>
    <t>woody</t>
  </si>
  <si>
    <t>smooth, sweet, thin</t>
  </si>
  <si>
    <t>bitter, bubbly</t>
  </si>
  <si>
    <t>umami, dairy, butter</t>
  </si>
  <si>
    <t>earthy, floral, bitter, herbacious, cereal, malt</t>
  </si>
  <si>
    <t>vegetal, cereal, sweet, malt</t>
  </si>
  <si>
    <t>cereal, malt, grassy</t>
  </si>
  <si>
    <t>light, earthy, sweet</t>
  </si>
  <si>
    <t>floral, drying, light</t>
  </si>
  <si>
    <t>cereal, flat</t>
  </si>
  <si>
    <t>cereal</t>
  </si>
  <si>
    <t>bitter, warm, cereal, grain</t>
  </si>
  <si>
    <t>sour, earthy</t>
  </si>
  <si>
    <t>sour, bitter, bubbly</t>
  </si>
  <si>
    <t>woody, bitter</t>
  </si>
  <si>
    <t>fruity, tropical</t>
  </si>
  <si>
    <t>smooth, fruity, coconut</t>
  </si>
  <si>
    <t>earthy, fruity, citrus</t>
  </si>
  <si>
    <t>sour, cereal, malt, sour, sharp</t>
  </si>
  <si>
    <t>grassy, fruity, citrus</t>
  </si>
  <si>
    <t>bitter, heavy, fruity</t>
  </si>
  <si>
    <t>fruity, apple, pear, sweet, heavy, bitter, smooth, grassy</t>
  </si>
  <si>
    <t>cereal, malt, umami, heavy, spicy</t>
  </si>
  <si>
    <t>light, earthy</t>
  </si>
  <si>
    <t>herbacious, bitter</t>
  </si>
  <si>
    <t>floral, light</t>
  </si>
  <si>
    <t>fruity, apple, sweet</t>
  </si>
  <si>
    <t>fruity, pear, sweet, earthy</t>
  </si>
  <si>
    <t>citrus, flat, small bubbles</t>
  </si>
  <si>
    <t>earthy, smooth, fruity, citrus</t>
  </si>
  <si>
    <t>fruity, bubbly, nutty</t>
  </si>
  <si>
    <t>nutty, smooth, light</t>
  </si>
  <si>
    <t>sour, smooth, woody</t>
  </si>
  <si>
    <t>sweet, bitter</t>
  </si>
  <si>
    <t>cereal, malt, light</t>
  </si>
  <si>
    <t>fruity, floral</t>
  </si>
  <si>
    <t>cereal, grain</t>
  </si>
  <si>
    <t>bitter, grassy</t>
  </si>
  <si>
    <t>fruity, citrus, stone fruit, tangerine</t>
  </si>
  <si>
    <t>earthy, fruity, melon, bitter</t>
  </si>
  <si>
    <t>fruity, tropical, pineapple, sweet</t>
  </si>
  <si>
    <t>woody, nutty, smooth, light, smooth</t>
  </si>
  <si>
    <t>floral, spicy, bubbly</t>
  </si>
  <si>
    <t>cereal, malt, bubbly</t>
  </si>
  <si>
    <t>floral, bubbly, alcoholic</t>
  </si>
  <si>
    <t>earthy, nutty, bubbly, sharp</t>
  </si>
  <si>
    <t>fruity, flat, swet, earthy</t>
  </si>
  <si>
    <t>dairy, cream</t>
  </si>
  <si>
    <t>nutty, flat, sweet</t>
  </si>
  <si>
    <t>bubbly, light</t>
  </si>
  <si>
    <t>light, sweet, sour, spicy</t>
  </si>
  <si>
    <t>bitter, light</t>
  </si>
  <si>
    <t>floral</t>
  </si>
  <si>
    <t>cereal, biscuit, fruity, tropical, mango</t>
  </si>
  <si>
    <t>ripe, spicy, bubbly, drying, bitter, grassy, vegetal, smooth, light</t>
  </si>
  <si>
    <t>floral, jasmine, bitter, smooth, alcohol_burning, thin, flat, drying</t>
  </si>
  <si>
    <t>herbacious, nutty, fat, low astringency, slippery, smooth, heavy, thick, sweet</t>
  </si>
  <si>
    <t>bubbly, drying, bitter, sour</t>
  </si>
  <si>
    <t>flat, fruity</t>
  </si>
  <si>
    <t>fruity, apple, flat, smooth</t>
  </si>
  <si>
    <t>bitter, thin, slippery</t>
  </si>
  <si>
    <t>thick</t>
  </si>
  <si>
    <t>cereal, malt, bitter</t>
  </si>
  <si>
    <t>light, fruity, citrus</t>
  </si>
  <si>
    <t>bitter, floral</t>
  </si>
  <si>
    <t>smooth, thin, light, flat, low astringency, light, fruity, sweet</t>
  </si>
  <si>
    <t>sharp, light, smooth, sweet, small bubbles</t>
  </si>
  <si>
    <t>woody, bubbly, sharp, tingle, bitter</t>
  </si>
  <si>
    <t>sharp, bitter, warm, tingle, floral, bitter</t>
  </si>
  <si>
    <t>salty, bitter</t>
  </si>
  <si>
    <t>sharp, cereal, grain</t>
  </si>
  <si>
    <t>light, cereal, grain</t>
  </si>
  <si>
    <t>thin, light</t>
  </si>
  <si>
    <t>light, spicy, clove</t>
  </si>
  <si>
    <t>low slippery, bubbly</t>
  </si>
  <si>
    <t>ripe, sour</t>
  </si>
  <si>
    <t>fruity, citrus, lemon, bitter</t>
  </si>
  <si>
    <t>warm, heavy</t>
  </si>
  <si>
    <t>spicy, anise, light</t>
  </si>
  <si>
    <t>fruity, citrus, orange, warm</t>
  </si>
  <si>
    <t>grassy, hay</t>
  </si>
  <si>
    <t>flat</t>
  </si>
  <si>
    <t>smooth, tingle, thin</t>
  </si>
  <si>
    <t>smooth, warm, small bubbles, thin, light</t>
  </si>
  <si>
    <t>small bubbles, drying, light, cooling</t>
  </si>
  <si>
    <t>small bubbles, warm, thin, drying</t>
  </si>
  <si>
    <t>smooth, light, fruity, pear</t>
  </si>
  <si>
    <t>dairy, cream, smooth</t>
  </si>
  <si>
    <t>nutty, heavy</t>
  </si>
  <si>
    <t>sweet, smooth</t>
  </si>
  <si>
    <t>vegetal, corn, drying</t>
  </si>
  <si>
    <t>low astringency, vegetal, corn, cardboard</t>
  </si>
  <si>
    <t>floral, vegetal, corn, stale</t>
  </si>
  <si>
    <t>cereal, malt, vegetal, corn, bitter</t>
  </si>
  <si>
    <t>bitter, woody, pine</t>
  </si>
  <si>
    <t>sharp, sour</t>
  </si>
  <si>
    <t>light, floral</t>
  </si>
  <si>
    <t>floral, jasmine, sweet</t>
  </si>
  <si>
    <t>sour, fruity, citrus, cereal, malt, fruity, light, thin, flat</t>
  </si>
  <si>
    <t>fruity, tropical, drying</t>
  </si>
  <si>
    <t>sour, sharp, sour, flat, heavy, cereal, grain</t>
  </si>
  <si>
    <t>cereal, malt, grain, umami, low astringency</t>
  </si>
  <si>
    <t>mild, woody, grassy</t>
  </si>
  <si>
    <t>fruity, citrus, lemon, lemon peel, waxy, soap</t>
  </si>
  <si>
    <t>sweet aromatic, bubble gum, bitter, herbacious</t>
  </si>
  <si>
    <t>earthy, smooth</t>
  </si>
  <si>
    <t>woody, smooth</t>
  </si>
  <si>
    <t>light, low astringency, cereal, bread, vegetal, celery, earthy, mossy, citrus, lemon, sour</t>
  </si>
  <si>
    <t>thin, drying, smooth, sweet aromatic, sweet</t>
  </si>
  <si>
    <t>grassy, herbacious, light</t>
  </si>
  <si>
    <t>fruity, citrus, light, sharp, drying</t>
  </si>
  <si>
    <t>sweet, smooth, earthy</t>
  </si>
  <si>
    <t>sour, smooth, sweet</t>
  </si>
  <si>
    <t>sweet, fruity, smooth, light</t>
  </si>
  <si>
    <t>bitter, sweet, sour, fruity, citrus</t>
  </si>
  <si>
    <t>bitter, burnt, smoke</t>
  </si>
  <si>
    <t>sour, bitter</t>
  </si>
  <si>
    <t>fruity, smooth</t>
  </si>
  <si>
    <t>mild, bitter</t>
  </si>
  <si>
    <t>sweet, spicy, slippery, small bubbles</t>
  </si>
  <si>
    <t>salty, stale, spicy, small bubbles</t>
  </si>
  <si>
    <t>sour, stale, drying, flat</t>
  </si>
  <si>
    <t>salty, slippery, small bubbles</t>
  </si>
  <si>
    <t>stale</t>
  </si>
  <si>
    <t>sweet, bitter, light</t>
  </si>
  <si>
    <t>light, fruity, citrus, woody, pine</t>
  </si>
  <si>
    <t>smooth, small bubbles, light, cereal, grain</t>
  </si>
  <si>
    <t>woody, fruity, apple, cider, light</t>
  </si>
  <si>
    <t>fruity, citrus, lemon</t>
  </si>
  <si>
    <t>woody, pine</t>
  </si>
  <si>
    <t>drying, bitter, earthy, woody, bitter</t>
  </si>
  <si>
    <t>stale, earthy</t>
  </si>
  <si>
    <t>grassy, umami</t>
  </si>
  <si>
    <t>metallic, salty, drying</t>
  </si>
  <si>
    <t>stale, cardboard, paper, earthy, musty, slippery</t>
  </si>
  <si>
    <t>grassy, green plant, sour, drying</t>
  </si>
  <si>
    <t>medicinal, band-aid, metallic</t>
  </si>
  <si>
    <t>floral, fruity, stone fruit, apricot</t>
  </si>
  <si>
    <t>medicinal, rubber, sour, sweet aromatic, honey</t>
  </si>
  <si>
    <t>heavy, thick</t>
  </si>
  <si>
    <t>sharp, bitter, smooth</t>
  </si>
  <si>
    <t>sweet, cereal, malt</t>
  </si>
  <si>
    <t>light, sour</t>
  </si>
  <si>
    <t>vegetal, peas</t>
  </si>
  <si>
    <t>earthy, bitter, drying, earthy, bitter</t>
  </si>
  <si>
    <t>earthy, woody, bitter, woody, bitter</t>
  </si>
  <si>
    <t>fruity, sweet, cooling, sweet</t>
  </si>
  <si>
    <t>sour, fruity, sweet</t>
  </si>
  <si>
    <t>earthy, musty</t>
  </si>
  <si>
    <t>light, stale, flat</t>
  </si>
  <si>
    <t>cereal, salty, smooth, floral</t>
  </si>
  <si>
    <t>floral, grassy</t>
  </si>
  <si>
    <t>CATA data (0/1): Workbook = DescCoded_CATAanalysis_working.xlsm / Sheet = Mouthfeel / Range = Mouthfeel!$D:$V / 552 rows and 19 columns</t>
  </si>
  <si>
    <t>Products: Workbook = DescCoded_CATAanalysis_working.xlsm / Sheet = Mouthfeel / Range = Mouthfeel!$B:$B / 552 rows and 1 column</t>
  </si>
  <si>
    <t>Assessors: Workbook = DescCoded_CATAanalysis_working.xlsm / Sheet = Mouthfeel / Range = Mouthfeel!$A:$A / 552 rows and 1 column</t>
  </si>
  <si>
    <t>Format: Vertical ((N x P) x K)</t>
  </si>
  <si>
    <t>Cochran's Q test  / Multiple pairwise comparisons Critical difference (Sheskin)</t>
  </si>
  <si>
    <t>Filter out non significant attributes: No</t>
  </si>
  <si>
    <t>Distance: Chi-square</t>
  </si>
  <si>
    <t>Cochran's Q test for each attribute:</t>
  </si>
  <si>
    <t>Attributes</t>
  </si>
  <si>
    <t>p-values</t>
  </si>
  <si>
    <t>Multiple pairwise comparisons using the Critical difference (Sheskin) procedure:</t>
  </si>
  <si>
    <t>0.022 (a)</t>
  </si>
  <si>
    <t>0.007 (a)</t>
  </si>
  <si>
    <t>0.014 (a)</t>
  </si>
  <si>
    <t>0 (a)</t>
  </si>
  <si>
    <t>0.051 (a)</t>
  </si>
  <si>
    <t>0.058 (a)</t>
  </si>
  <si>
    <t>0.029 (a)</t>
  </si>
  <si>
    <t>0.065 (a)</t>
  </si>
  <si>
    <t>0.130 (a)</t>
  </si>
  <si>
    <t>0.109 (a)</t>
  </si>
  <si>
    <t>0.087 (a)</t>
  </si>
  <si>
    <t>0.210 (a)</t>
  </si>
  <si>
    <t>0.254 (a)</t>
  </si>
  <si>
    <t>0.268 (a)</t>
  </si>
  <si>
    <t>0.283 (a)</t>
  </si>
  <si>
    <t>0.036 (a)</t>
  </si>
  <si>
    <t>0.043 (a)</t>
  </si>
  <si>
    <t>117.17</t>
  </si>
  <si>
    <t>120.14</t>
  </si>
  <si>
    <t>120.17</t>
  </si>
  <si>
    <t>Differences between products for attribute mouthfeel_afterfeel_slippery_high</t>
  </si>
  <si>
    <t>Critical difference: 0.0366</t>
  </si>
  <si>
    <t>Differences between products for attribute mouthfeel_afterfeel_slippery_low</t>
  </si>
  <si>
    <t>Critical difference: 0.0135</t>
  </si>
  <si>
    <t>Differences between products for attribute mouthfeel_afterfeel_astringency_drying</t>
  </si>
  <si>
    <t>Critical difference: 0.0639</t>
  </si>
  <si>
    <t>Differences between products for attribute mouthfeel_afterfeel_astringency_low</t>
  </si>
  <si>
    <t>Critical difference: 0.0302</t>
  </si>
  <si>
    <t>Differences between products for attribute mouthfeel_body_particulate_smooth</t>
  </si>
  <si>
    <t>Critical difference: 0.0833</t>
  </si>
  <si>
    <t>Differences between products for attribute mouthfeel_body_particulate_gritty</t>
  </si>
  <si>
    <t>Differences between products for attribute mouthfeel_body_density_light</t>
  </si>
  <si>
    <t>Critical difference: 0.1273</t>
  </si>
  <si>
    <t>Differences between products for attribute mouthfeel_body_density_heavy</t>
  </si>
  <si>
    <t>Critical difference: 0.0594</t>
  </si>
  <si>
    <t>Differences between products for attribute mouthfeel_body_viscosity_thin</t>
  </si>
  <si>
    <t>Critical difference: 0.0468</t>
  </si>
  <si>
    <t>Differences between products for attribute mouthfeel_body_viscosity_thick</t>
  </si>
  <si>
    <t>Differences between products for attribute mouthfeel_effervescence_bubbledensity_dispersed</t>
  </si>
  <si>
    <t>Critical difference: 0.0481</t>
  </si>
  <si>
    <t>Differences between products for attribute mouthfeel_effervescence_bubbledensity_compact</t>
  </si>
  <si>
    <t>Critical difference: 0.0524</t>
  </si>
  <si>
    <t>Differences between products for attribute mouthfeel_effervescence_bubblesize_small</t>
  </si>
  <si>
    <t>Critical difference: 0.0382</t>
  </si>
  <si>
    <t>Differences between products for attribute mouthfeel_effervescence_bubblesize_large</t>
  </si>
  <si>
    <t>Critical difference: 0.0475</t>
  </si>
  <si>
    <t>Differences between products for attribute mouthfeel_effervescence_carbonation_burning</t>
  </si>
  <si>
    <t>Critical difference: 0.0191</t>
  </si>
  <si>
    <t>Differences between products for attribute mouthfeel_irritation_alcohol_warm</t>
  </si>
  <si>
    <t>Critical difference: 0.0374</t>
  </si>
  <si>
    <t>Differences between products for attribute mouthfeel_irritation_alcohol_burning</t>
  </si>
  <si>
    <t>Differences between products for attribute mouthfeel_irritation_carbonation_tingle</t>
  </si>
  <si>
    <t>Critical difference: 0.0322</t>
  </si>
  <si>
    <t>Differences between products for attribute mouthfeel_irritation_cooling</t>
  </si>
  <si>
    <t>Critical difference: 0.0331</t>
  </si>
  <si>
    <t>Contingency table built from CATA data:</t>
  </si>
  <si>
    <t>Products\Dimensions</t>
  </si>
  <si>
    <t>Test of independence between the rows and the columns:</t>
  </si>
  <si>
    <t>Chi-square (Observed value)</t>
  </si>
  <si>
    <t>Chi-square (Critical value)</t>
  </si>
  <si>
    <t>DF</t>
  </si>
  <si>
    <t>p-value (one-tailed)</t>
  </si>
  <si>
    <t>alpha</t>
  </si>
  <si>
    <t>Test interpretation:</t>
  </si>
  <si>
    <t>H0: The rows and the columns of the table are independent.</t>
  </si>
  <si>
    <t>Ha: There is a link between the rows and the columns of the table.</t>
  </si>
  <si>
    <t>As the computed p-value is greater than the significance level alpha=0.05, one cannot reject the null hypothesis H0.</t>
  </si>
  <si>
    <t>Eigenvalues and percentages of inertia:</t>
  </si>
  <si>
    <t>F1</t>
  </si>
  <si>
    <t>F2</t>
  </si>
  <si>
    <t>F3</t>
  </si>
  <si>
    <t>Eigenvalue</t>
  </si>
  <si>
    <t>Inertia (%)</t>
  </si>
  <si>
    <t>Cumulative %</t>
  </si>
  <si>
    <t xml:space="preserve"> </t>
  </si>
  <si>
    <t>Principal Coordinate Analysis:</t>
  </si>
  <si>
    <t>Correlations:</t>
  </si>
  <si>
    <t>Eigenvalues: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</si>
  <si>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</si>
  <si>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</si>
  <si>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</si>
  <si>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</si>
  <si>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</si>
  <si>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</si>
  <si>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</si>
  <si>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</si>
  <si>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</si>
  <si>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</si>
  <si>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</si>
  <si>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</si>
  <si>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</si>
  <si>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</si>
  <si>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Variability (%)</t>
  </si>
  <si>
    <t>Principal coordinates:</t>
  </si>
  <si>
    <r>
      <t>XLSTAT-Student 2020.5.1.1036 - CATA data analysis - Start time: 2020-11-11 at 10:43:54 / End time: 2020-11-11 at 10:44:04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</si>
  <si>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CATA data (0/1): Workbook = DescCoded_CATAanalysis_working.xlsm / Sheet = Taste / Range = Taste!$D:$G / 552 rows and 4 columns</t>
  </si>
  <si>
    <t>Products: Workbook = DescCoded_CATAanalysis_working.xlsm / Sheet = Taste / Range = Taste!$B:$B / 552 rows and 1 column</t>
  </si>
  <si>
    <t>Assessors: Workbook = DescCoded_CATAanalysis_working.xlsm / Sheet = Taste / Range = Taste!$A:$A / 552 rows and 1 column</t>
  </si>
  <si>
    <t>0.138 (b)</t>
  </si>
  <si>
    <t>0.065 (ab)</t>
  </si>
  <si>
    <t>0.181 (a)</t>
  </si>
  <si>
    <t>0.196 (a)</t>
  </si>
  <si>
    <t>0.101 (a)</t>
  </si>
  <si>
    <t>0.116 (a)</t>
  </si>
  <si>
    <t>0.123 (a)</t>
  </si>
  <si>
    <t>Differences between products for attribute taste_sour</t>
  </si>
  <si>
    <t>Critical difference: 0.0815</t>
  </si>
  <si>
    <t>Differences between products for attribute taste_bitter</t>
  </si>
  <si>
    <t>Critical difference: 0.1084</t>
  </si>
  <si>
    <t>Differences between products for attribute taste_salty</t>
  </si>
  <si>
    <t>Critical difference: 0.0340</t>
  </si>
  <si>
    <t>Differences between products for attribute taste_sweet</t>
  </si>
  <si>
    <t>Critical difference: 0.0933</t>
  </si>
  <si>
    <r>
      <t>XLSTAT-Student 2020.5.1.1036 - CATA data analysis - Start time: 2020-11-11 at 10:50:27 / End time: 2020-11-11 at 10:50:33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</si>
  <si>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CATA data (0/1): Workbook = DescCoded_CATAanalysis_working.xlsm / Sheet = Aroma_Primary / Range = Aroma_Primary!$D:$X / 552 rows and 21 columns</t>
  </si>
  <si>
    <t>Products: Workbook = DescCoded_CATAanalysis_working.xlsm / Sheet = Aroma_Primary / Range = Aroma_Primary!$B:$B / 552 rows and 1 column</t>
  </si>
  <si>
    <t>Assessors: Workbook = DescCoded_CATAanalysis_working.xlsm / Sheet = Aroma_Primary / Range = Aroma_Primary!$A:$A / 552 rows and 1 column</t>
  </si>
  <si>
    <t>0.094 (a)</t>
  </si>
  <si>
    <t>0.072 (a)</t>
  </si>
  <si>
    <t>0.138 (a)</t>
  </si>
  <si>
    <t>0.152 (a)</t>
  </si>
  <si>
    <t>0.145 (a)</t>
  </si>
  <si>
    <t>0.080 (b)</t>
  </si>
  <si>
    <t>0.036 (ab)</t>
  </si>
  <si>
    <t>0.051 (ab)</t>
  </si>
  <si>
    <t>Differences between products for attribute spicy</t>
  </si>
  <si>
    <t>Differences between products for attribute aroma_alcoholic</t>
  </si>
  <si>
    <t>Differences between products for attribute aroma_burnt</t>
  </si>
  <si>
    <t>Critical difference: 0.0270</t>
  </si>
  <si>
    <t>Differences between products for attribute aroma_cereal</t>
  </si>
  <si>
    <t>Critical difference: 0.0876</t>
  </si>
  <si>
    <t>Differences between products for attribute aroma_dairy</t>
  </si>
  <si>
    <t>Differences between products for attribute aroma_earthy</t>
  </si>
  <si>
    <t>Critical difference: 0.0757</t>
  </si>
  <si>
    <t>Differences between products for attribute aroma_floral</t>
  </si>
  <si>
    <t>Critical difference: 0.0694</t>
  </si>
  <si>
    <t>Differences between products for attribute aroma_fruity</t>
  </si>
  <si>
    <t>Critical difference: 0.1050</t>
  </si>
  <si>
    <t>Differences between products for attribute aroma_grassy</t>
  </si>
  <si>
    <t>Critical difference: 0.0610</t>
  </si>
  <si>
    <t>Differences between products for attribute aroma_herbacious</t>
  </si>
  <si>
    <t>Critical difference: 0.0406</t>
  </si>
  <si>
    <t>Differences between products for attribute aroma_meaty</t>
  </si>
  <si>
    <t>Critical difference: 0</t>
  </si>
  <si>
    <t>Differences between products for attribute aroma_metallic</t>
  </si>
  <si>
    <t>Differences between products for attribute aroma_nutty</t>
  </si>
  <si>
    <t>Differences between products for attribute aroma_ripe</t>
  </si>
  <si>
    <t>Critical difference: 0.0442</t>
  </si>
  <si>
    <t>Differences between products for attribute aroma_solvent</t>
  </si>
  <si>
    <t>Differences between products for attribute aroma_spicy</t>
  </si>
  <si>
    <t>Differences between products for attribute aroma_stale</t>
  </si>
  <si>
    <t>Differences between products for attribute aroma_sweetaromatic</t>
  </si>
  <si>
    <t>Critical difference: 0.0358</t>
  </si>
  <si>
    <t>Differences between products for attribute aroma_vegetal</t>
  </si>
  <si>
    <t>Differences between products for attribute aroma_waxy</t>
  </si>
  <si>
    <t>Differences between products for attribute aroma_woody</t>
  </si>
  <si>
    <t>Critical difference: 0.0644</t>
  </si>
  <si>
    <t>Attributes removed for correspondence analysis:</t>
  </si>
  <si>
    <t>Attribute</t>
  </si>
  <si>
    <r>
      <t>XLSTAT-Student 2020.5.1.1036 - CATA data analysis - Start time: 2020-11-11 at 11:02:29 / End time: 2020-11-11 at 11:02:37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</si>
  <si>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3</t>
  </si>
  <si>
    <t>Differences between products for attribute aroma_cereal_malt</t>
  </si>
  <si>
    <t>Critical difference: 0.0615</t>
  </si>
  <si>
    <t>Differences between products for attribute aroma_fruity_citrus</t>
  </si>
  <si>
    <t>Critical difference: 0.0707</t>
  </si>
  <si>
    <t>max from binary</t>
  </si>
  <si>
    <t>94 out of 136 used</t>
  </si>
  <si>
    <t>CATA data (0/1): Workbook = DescCoded_CATAanalysis_working.xlsm / Sheet = FilterLenient / Range = 'FilterLenient'!$D:$S / 552 rows and 16 columns</t>
  </si>
  <si>
    <t>Products: Workbook = DescCoded_CATAanalysis_working.xlsm / Sheet = Aroma_Primary / Range = 'Aroma_Primary'!$B:$B / 552 rows and 1 column</t>
  </si>
  <si>
    <t>Assessors: Workbook = DescCoded_CATAanalysis_working.xlsm / Sheet = Aroma_Primary / Range = 'Aroma_Primary'!$A:$A / 552 rows and 1 column</t>
  </si>
  <si>
    <t>Differences between products for attribute smooth</t>
  </si>
  <si>
    <t>Critical difference: 0.0851</t>
  </si>
  <si>
    <r>
      <t>XLSTAT-Student 2020.5.1.1036 - CATA data analysis - Start time: 2020-11-11 at 15:04:15 / End time: 2020-11-11 at 15:04:21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</si>
  <si>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Cochran's Q test  / Multiple pairwise comparisons McNemar(Bonferroni)</t>
  </si>
  <si>
    <t>Multiple pairwise comparisons using the McNemar(Bonferroni) procedure:</t>
  </si>
  <si>
    <t>0.080 (a)</t>
  </si>
  <si>
    <t>mouthfeel_afterfeel_astringency_drying / p-values:</t>
  </si>
  <si>
    <t>Bonferroni corrected significance level: 0.0083</t>
  </si>
  <si>
    <t>smooth / p-values:</t>
  </si>
  <si>
    <t>mouthfeel_body_density_light / p-values:</t>
  </si>
  <si>
    <t>mouthfeel_body_density_heavy / p-values:</t>
  </si>
  <si>
    <t>taste_sour / p-values:</t>
  </si>
  <si>
    <t>taste_bitter / p-values:</t>
  </si>
  <si>
    <t>taste_sweet / p-values:</t>
  </si>
  <si>
    <t>aroma_cereal / p-values:</t>
  </si>
  <si>
    <t>aroma_cereal_malt / p-values:</t>
  </si>
  <si>
    <t>aroma_earthy / p-values:</t>
  </si>
  <si>
    <t>aroma_floral / p-values:</t>
  </si>
  <si>
    <t>aroma_fruity / p-values:</t>
  </si>
  <si>
    <t>aroma_fruity_citrus / p-values:</t>
  </si>
  <si>
    <t>aroma_grassy / p-values:</t>
  </si>
  <si>
    <t>aroma_nutty / p-values:</t>
  </si>
  <si>
    <t>aroma_woody / p-values:</t>
  </si>
  <si>
    <r>
      <t>XLSTAT-Student 2020.5.1.1036 - CATA data analysis - Start time: 2021-02-28 at 14:38:15 / End time: 2021-02-28 at 14:38:38</t>
    </r>
    <r>
      <rPr>
        <sz val="12"/>
        <color rgb="FFFFFFFF"/>
        <rFont val="Calibri"/>
        <family val="2"/>
        <scheme val="minor"/>
      </rPr>
      <t xml:space="preserve"> / Microsoft Excel 16.46212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</si>
</sst>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0.0001]&quot;&lt;0.0001&quot;;0.000"/>
    <numFmt numFmtId="165" formatCode="0.0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EC5B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0" fontId="16" fillId="0" borderId="0" xfId="0" applyFont="1"/>
    <xf numFmtId="0" fontId="18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0" xfId="0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Border="1" applyAlignment="1"/>
    <xf numFmtId="49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165" fontId="0" fillId="0" borderId="11" xfId="0" applyNumberFormat="1" applyBorder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12" xfId="0" applyNumberFormat="1" applyBorder="1" applyAlignment="1">
      <alignment horizontal="right"/>
    </xf>
    <xf numFmtId="0" fontId="0" fillId="0" borderId="0" xfId="0" applyAlignme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165" fontId="0" fillId="0" borderId="11" xfId="0" applyNumberFormat="1" applyBorder="1" applyAlignment="1"/>
    <xf numFmtId="165" fontId="0" fillId="0" borderId="0" xfId="0" applyNumberFormat="1" applyAlignment="1"/>
    <xf numFmtId="165" fontId="0" fillId="0" borderId="12" xfId="0" applyNumberFormat="1" applyBorder="1" applyAlignment="1"/>
    <xf numFmtId="0" fontId="0" fillId="0" borderId="11" xfId="0" applyNumberForma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0" fontId="0" fillId="0" borderId="10" xfId="0" applyBorder="1" applyAlignment="1"/>
    <xf numFmtId="165" fontId="0" fillId="0" borderId="10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12" xfId="0" applyNumberFormat="1" applyBorder="1" applyAlignment="1">
      <alignment horizontal="right"/>
    </xf>
    <xf numFmtId="0" fontId="0" fillId="0" borderId="13" xfId="0" applyBorder="1"/>
    <xf numFmtId="165" fontId="16" fillId="0" borderId="11" xfId="0" applyNumberFormat="1" applyFont="1" applyBorder="1" applyAlignment="1"/>
    <xf numFmtId="0" fontId="16" fillId="0" borderId="11" xfId="0" applyNumberFormat="1" applyFont="1" applyBorder="1" applyAlignment="1"/>
    <xf numFmtId="165" fontId="16" fillId="0" borderId="0" xfId="0" applyNumberFormat="1" applyFont="1" applyAlignment="1"/>
    <xf numFmtId="0" fontId="16" fillId="0" borderId="0" xfId="0" applyNumberFormat="1" applyFont="1" applyAlignment="1"/>
    <xf numFmtId="0" fontId="16" fillId="0" borderId="12" xfId="0" applyNumberFormat="1" applyFont="1" applyBorder="1" applyAlignment="1"/>
    <xf numFmtId="165" fontId="0" fillId="0" borderId="14" xfId="0" applyNumberFormat="1" applyBorder="1" applyAlignment="1"/>
    <xf numFmtId="49" fontId="16" fillId="0" borderId="12" xfId="0" applyNumberFormat="1" applyFont="1" applyBorder="1" applyAlignment="1"/>
    <xf numFmtId="165" fontId="16" fillId="0" borderId="12" xfId="0" applyNumberFormat="1" applyFont="1" applyBorder="1" applyAlignment="1">
      <alignment horizontal="right"/>
    </xf>
    <xf numFmtId="49" fontId="16" fillId="0" borderId="11" xfId="0" applyNumberFormat="1" applyFont="1" applyBorder="1" applyAlignment="1"/>
    <xf numFmtId="165" fontId="16" fillId="0" borderId="11" xfId="0" applyNumberFormat="1" applyFont="1" applyBorder="1" applyAlignment="1">
      <alignment horizontal="right"/>
    </xf>
    <xf numFmtId="0" fontId="20" fillId="0" borderId="0" xfId="0" applyFont="1"/>
    <xf numFmtId="0" fontId="0" fillId="33" borderId="0" xfId="0" applyFill="1"/>
    <xf numFmtId="0" fontId="16" fillId="33" borderId="0" xfId="0" applyFont="1" applyFill="1"/>
    <xf numFmtId="49" fontId="0" fillId="0" borderId="0" xfId="0" applyNumberFormat="1" applyBorder="1" applyAlignment="1"/>
    <xf numFmtId="164" fontId="0" fillId="0" borderId="0" xfId="0" applyNumberFormat="1" applyBorder="1" applyAlignment="1"/>
    <xf numFmtId="0" fontId="0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CATA_Mouthfeel!$C$277:$E$277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CATA_Mouthfeel!$C$278:$E$278</c:f>
              <c:numCache>
                <c:formatCode>0.000</c:formatCode>
                <c:ptCount val="3"/>
                <c:pt idx="0">
                  <c:v>6.4829475925046842E-2</c:v>
                </c:pt>
                <c:pt idx="1">
                  <c:v>3.8645071401993233E-2</c:v>
                </c:pt>
                <c:pt idx="2">
                  <c:v>2.8707357684250361E-2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9-C440-9AFF-96EB34BC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39128239"/>
        <c:axId val="123894107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CATA_Mouthfeel!$C$277:$E$277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CATA_Mouthfeel!$C$280:$E$280</c:f>
              <c:numCache>
                <c:formatCode>0.000</c:formatCode>
                <c:ptCount val="3"/>
                <c:pt idx="0">
                  <c:v>49.045651081749334</c:v>
                </c:pt>
                <c:pt idx="1">
                  <c:v>78.281930736436053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19-C440-9AFF-96EB34BC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81119"/>
        <c:axId val="1699775967"/>
      </c:lineChart>
      <c:catAx>
        <c:axId val="1239128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38941071"/>
        <c:crosses val="autoZero"/>
        <c:auto val="1"/>
        <c:lblAlgn val="ctr"/>
        <c:lblOffset val="100"/>
        <c:noMultiLvlLbl val="0"/>
      </c:catAx>
      <c:valAx>
        <c:axId val="123894107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9128239"/>
        <c:crosses val="autoZero"/>
        <c:crossBetween val="between"/>
      </c:valAx>
      <c:valAx>
        <c:axId val="169977596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48281119"/>
        <c:crosses val="max"/>
        <c:crossBetween val="between"/>
        <c:majorUnit val="20"/>
      </c:valAx>
      <c:catAx>
        <c:axId val="1248281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977596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78.28 %)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498E-2"/>
                  <c:y val="1.75781250000000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mouthfeel_afterfeel_slippery_high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52D-D544-AEA7-38E32FBED315}"/>
                </c:ext>
              </c:extLst>
            </c:dLbl>
            <c:dLbl>
              <c:idx val="1"/>
              <c:layout>
                <c:manualLayout>
                  <c:x val="-0.20815384615384616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mouthfeel_afterfeel_slippery_low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52D-D544-AEA7-38E32FBED315}"/>
                </c:ext>
              </c:extLst>
            </c:dLbl>
            <c:dLbl>
              <c:idx val="2"/>
              <c:layout>
                <c:manualLayout>
                  <c:x val="-0.2081538461538462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mouthfeel_afterfeel_astringency_drying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52D-D544-AEA7-38E32FBED315}"/>
                </c:ext>
              </c:extLst>
            </c:dLbl>
            <c:dLbl>
              <c:idx val="3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mouthfeel_afterfeel_astringency_low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52D-D544-AEA7-38E32FBED315}"/>
                </c:ext>
              </c:extLst>
            </c:dLbl>
            <c:dLbl>
              <c:idx val="4"/>
              <c:layout>
                <c:manualLayout>
                  <c:x val="-0.20898461538461538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mouthfeel_body_particulate_smooth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52D-D544-AEA7-38E32FBED315}"/>
                </c:ext>
              </c:extLst>
            </c:dLbl>
            <c:dLbl>
              <c:idx val="5"/>
              <c:layout>
                <c:manualLayout>
                  <c:x val="-0.20898461538461541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mouthfeel_body_particulate_gritty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52D-D544-AEA7-38E32FBED315}"/>
                </c:ext>
              </c:extLst>
            </c:dLbl>
            <c:dLbl>
              <c:idx val="6"/>
              <c:layout>
                <c:manualLayout>
                  <c:x val="-0.20938461538461539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52D-D544-AEA7-38E32FBED315}"/>
                </c:ext>
              </c:extLst>
            </c:dLbl>
            <c:dLbl>
              <c:idx val="7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mouthfeel_body_density_heavy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52D-D544-AEA7-38E32FBED315}"/>
                </c:ext>
              </c:extLst>
            </c:dLbl>
            <c:dLbl>
              <c:idx val="8"/>
              <c:layout>
                <c:manualLayout>
                  <c:x val="-0.21043076923076923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mouthfeel_body_viscosity_thin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52D-D544-AEA7-38E32FBED315}"/>
                </c:ext>
              </c:extLst>
            </c:dLbl>
            <c:dLbl>
              <c:idx val="9"/>
              <c:layout>
                <c:manualLayout>
                  <c:x val="-1.5384615384615498E-2"/>
                  <c:y val="1.75781250000000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mouthfeel_body_viscosity_thick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52D-D544-AEA7-38E32FBED315}"/>
                </c:ext>
              </c:extLst>
            </c:dLbl>
            <c:dLbl>
              <c:idx val="10"/>
              <c:layout>
                <c:manualLayout>
                  <c:x val="-1.538461538461538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mouthfeel_effervescence_bubbledensity_dispersed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52D-D544-AEA7-38E32FBED315}"/>
                </c:ext>
              </c:extLst>
            </c:dLbl>
            <c:dLbl>
              <c:idx val="11"/>
              <c:layout>
                <c:manualLayout>
                  <c:x val="-0.20738461538461544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mouthfeel_effervescence_bubbledensity_compact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52D-D544-AEA7-38E32FBED315}"/>
                </c:ext>
              </c:extLst>
            </c:dLbl>
            <c:dLbl>
              <c:idx val="12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mouthfeel_effervescence_bubblesize_small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52D-D544-AEA7-38E32FBED315}"/>
                </c:ext>
              </c:extLst>
            </c:dLbl>
            <c:dLbl>
              <c:idx val="13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mouthfeel_effervescence_bubblesize_large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52D-D544-AEA7-38E32FBED315}"/>
                </c:ext>
              </c:extLst>
            </c:dLbl>
            <c:dLbl>
              <c:idx val="14"/>
              <c:layout>
                <c:manualLayout>
                  <c:x val="-1.5384615384615498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mouthfeel_effervescence_carbonation_burning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52D-D544-AEA7-38E32FBED315}"/>
                </c:ext>
              </c:extLst>
            </c:dLbl>
            <c:dLbl>
              <c:idx val="15"/>
              <c:layout>
                <c:manualLayout>
                  <c:x val="-0.21012307692307691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mouthfeel_irritation_alcohol_warm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52D-D544-AEA7-38E32FBED315}"/>
                </c:ext>
              </c:extLst>
            </c:dLbl>
            <c:dLbl>
              <c:idx val="16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mouthfeel_irritation_alcohol_burning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52D-D544-AEA7-38E32FBED315}"/>
                </c:ext>
              </c:extLst>
            </c:dLbl>
            <c:dLbl>
              <c:idx val="17"/>
              <c:layout>
                <c:manualLayout>
                  <c:x val="-0.21012307692307694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mouthfeel_irritation_carbonation_tingle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52D-D544-AEA7-38E32FBED315}"/>
                </c:ext>
              </c:extLst>
            </c:dLbl>
            <c:dLbl>
              <c:idx val="18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mouthfeel_irritation_cooling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2D-D544-AEA7-38E32FBED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XLSTAT_20201111_104356_1_HID!$B$6:$B$24</c:f>
              <c:numCache>
                <c:formatCode>General</c:formatCode>
                <c:ptCount val="19"/>
                <c:pt idx="0">
                  <c:v>0.10242916628457482</c:v>
                </c:pt>
                <c:pt idx="1">
                  <c:v>-1.0638793933429411</c:v>
                </c:pt>
                <c:pt idx="2">
                  <c:v>-0.26244383060684046</c:v>
                </c:pt>
                <c:pt idx="3">
                  <c:v>0.49366869566301524</c:v>
                </c:pt>
                <c:pt idx="4">
                  <c:v>-6.0647571616354451E-2</c:v>
                </c:pt>
                <c:pt idx="5">
                  <c:v>-0.58551432406156956</c:v>
                </c:pt>
                <c:pt idx="6">
                  <c:v>-2.5559547259746417E-2</c:v>
                </c:pt>
                <c:pt idx="7">
                  <c:v>0.17049560739301178</c:v>
                </c:pt>
                <c:pt idx="8">
                  <c:v>-0.10988736405512171</c:v>
                </c:pt>
                <c:pt idx="9">
                  <c:v>0.10242916628457485</c:v>
                </c:pt>
                <c:pt idx="10">
                  <c:v>0.3845324117362483</c:v>
                </c:pt>
                <c:pt idx="11">
                  <c:v>-0.2427821831669901</c:v>
                </c:pt>
                <c:pt idx="12">
                  <c:v>0.31240766991441021</c:v>
                </c:pt>
                <c:pt idx="13">
                  <c:v>0.13999879272896287</c:v>
                </c:pt>
                <c:pt idx="14">
                  <c:v>1.526445331822289</c:v>
                </c:pt>
                <c:pt idx="15">
                  <c:v>-0.26368577649825481</c:v>
                </c:pt>
                <c:pt idx="16">
                  <c:v>0.47046550388035957</c:v>
                </c:pt>
                <c:pt idx="17">
                  <c:v>-0.69143782267160958</c:v>
                </c:pt>
                <c:pt idx="18">
                  <c:v>0.84039758388537433</c:v>
                </c:pt>
              </c:numCache>
            </c:numRef>
          </c:xVal>
          <c:yVal>
            <c:numRef>
              <c:f>XLSTAT_20201111_104356_1_HID!$C$6:$C$24</c:f>
              <c:numCache>
                <c:formatCode>General</c:formatCode>
                <c:ptCount val="19"/>
                <c:pt idx="0">
                  <c:v>-0.35577270752906126</c:v>
                </c:pt>
                <c:pt idx="1">
                  <c:v>1.2842853709537099</c:v>
                </c:pt>
                <c:pt idx="2">
                  <c:v>-8.4550928097638228E-2</c:v>
                </c:pt>
                <c:pt idx="3">
                  <c:v>-0.4247748096709118</c:v>
                </c:pt>
                <c:pt idx="4">
                  <c:v>0.20766538477371996</c:v>
                </c:pt>
                <c:pt idx="5">
                  <c:v>-0.76321032702062308</c:v>
                </c:pt>
                <c:pt idx="6">
                  <c:v>-2.8880263295824376E-4</c:v>
                </c:pt>
                <c:pt idx="7">
                  <c:v>-0.21519950668993615</c:v>
                </c:pt>
                <c:pt idx="8">
                  <c:v>-0.14315650744592076</c:v>
                </c:pt>
                <c:pt idx="9">
                  <c:v>-0.35577270752906143</c:v>
                </c:pt>
                <c:pt idx="10">
                  <c:v>0.10674428096148095</c:v>
                </c:pt>
                <c:pt idx="11">
                  <c:v>-0.29488849975684023</c:v>
                </c:pt>
                <c:pt idx="12">
                  <c:v>5.0619035411980186E-2</c:v>
                </c:pt>
                <c:pt idx="13">
                  <c:v>-7.6586124622778882E-3</c:v>
                </c:pt>
                <c:pt idx="14">
                  <c:v>0.56305079514404932</c:v>
                </c:pt>
                <c:pt idx="15">
                  <c:v>0.38815997380563022</c:v>
                </c:pt>
                <c:pt idx="16">
                  <c:v>-0.1000797659382866</c:v>
                </c:pt>
                <c:pt idx="17">
                  <c:v>0.2695951207388827</c:v>
                </c:pt>
                <c:pt idx="18">
                  <c:v>0.38218431595314833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2D-D544-AEA7-38E32FBED315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498E-2"/>
                  <c:y val="1.7578124999999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2D-D544-AEA7-38E32FBED315}"/>
                </c:ext>
              </c:extLst>
            </c:dLbl>
            <c:dLbl>
              <c:idx val="1"/>
              <c:layout>
                <c:manualLayout>
                  <c:x val="-9.0815505754088491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2D-D544-AEA7-38E32FBED315}"/>
                </c:ext>
              </c:extLst>
            </c:dLbl>
            <c:dLbl>
              <c:idx val="2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52D-D544-AEA7-38E32FBED315}"/>
                </c:ext>
              </c:extLst>
            </c:dLbl>
            <c:dLbl>
              <c:idx val="3"/>
              <c:layout>
                <c:manualLayout>
                  <c:x val="-0.11355372501514234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52D-D544-AEA7-38E32FBED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XLSTAT_20201111_104356_1_HID!$B$2:$B$5</c:f>
              <c:numCache>
                <c:formatCode>General</c:formatCode>
                <c:ptCount val="4"/>
                <c:pt idx="0">
                  <c:v>1.2312465768102881E-4</c:v>
                </c:pt>
                <c:pt idx="1">
                  <c:v>-0.2708810675780301</c:v>
                </c:pt>
                <c:pt idx="2">
                  <c:v>0.38865790960031821</c:v>
                </c:pt>
                <c:pt idx="3">
                  <c:v>-0.14908150884063653</c:v>
                </c:pt>
              </c:numCache>
            </c:numRef>
          </c:xVal>
          <c:yVal>
            <c:numRef>
              <c:f>XLSTAT_20201111_104356_1_HID!$C$2:$C$5</c:f>
              <c:numCache>
                <c:formatCode>General</c:formatCode>
                <c:ptCount val="4"/>
                <c:pt idx="0">
                  <c:v>-0.24442851093395951</c:v>
                </c:pt>
                <c:pt idx="1">
                  <c:v>0.25246930972486981</c:v>
                </c:pt>
                <c:pt idx="2">
                  <c:v>0.11068649445449542</c:v>
                </c:pt>
                <c:pt idx="3">
                  <c:v>-0.15003455524429082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52D-D544-AEA7-38E32FBED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126847"/>
        <c:axId val="1727378223"/>
      </c:scatterChart>
      <c:valAx>
        <c:axId val="1727126847"/>
        <c:scaling>
          <c:orientation val="minMax"/>
          <c:max val="2.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(49.05 %)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7378223"/>
        <c:crosses val="autoZero"/>
        <c:crossBetween val="midCat"/>
        <c:majorUnit val="0.5"/>
      </c:valAx>
      <c:valAx>
        <c:axId val="1727378223"/>
        <c:scaling>
          <c:orientation val="minMax"/>
          <c:max val="1.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(29.24 %)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7126847"/>
        <c:crosses val="autoZero"/>
        <c:crossBetween val="midCat"/>
        <c:majorUnit val="0.5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CATA_Mouthfeel!$C$347:$S$347</c:f>
              <c:strCache>
                <c:ptCount val="17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</c:strCache>
            </c:strRef>
          </c:cat>
          <c:val>
            <c:numRef>
              <c:f>CATA_Mouthfeel!$C$348:$S$348</c:f>
              <c:numCache>
                <c:formatCode>0.000</c:formatCode>
                <c:ptCount val="17"/>
                <c:pt idx="0">
                  <c:v>6.854769155547034</c:v>
                </c:pt>
                <c:pt idx="1">
                  <c:v>6.1720566356343882</c:v>
                </c:pt>
                <c:pt idx="2">
                  <c:v>5.5119130812486672</c:v>
                </c:pt>
                <c:pt idx="3">
                  <c:v>5.0040156446168993</c:v>
                </c:pt>
                <c:pt idx="4">
                  <c:v>4.6931669985984588</c:v>
                </c:pt>
                <c:pt idx="5">
                  <c:v>4.3627359913928876</c:v>
                </c:pt>
                <c:pt idx="6">
                  <c:v>4.1449017113811593</c:v>
                </c:pt>
                <c:pt idx="7">
                  <c:v>3.2808747423575113</c:v>
                </c:pt>
                <c:pt idx="8">
                  <c:v>3.0978420042732426</c:v>
                </c:pt>
                <c:pt idx="9">
                  <c:v>2.5684051072826728</c:v>
                </c:pt>
                <c:pt idx="10">
                  <c:v>2.5398815650153654</c:v>
                </c:pt>
                <c:pt idx="11">
                  <c:v>1.6749561832840827</c:v>
                </c:pt>
                <c:pt idx="12">
                  <c:v>1.3552033591575163</c:v>
                </c:pt>
                <c:pt idx="13">
                  <c:v>1.2460399317660908</c:v>
                </c:pt>
                <c:pt idx="14">
                  <c:v>1.0351786539582626</c:v>
                </c:pt>
                <c:pt idx="15">
                  <c:v>0.79187927463437058</c:v>
                </c:pt>
                <c:pt idx="16">
                  <c:v>0.63627841645115057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1-2949-81EB-7FE381679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35965759"/>
        <c:axId val="1236018079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CATA_Mouthfeel!$C$347:$S$347</c:f>
              <c:strCache>
                <c:ptCount val="17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  <c:pt idx="15">
                  <c:v>F16</c:v>
                </c:pt>
                <c:pt idx="16">
                  <c:v>F17</c:v>
                </c:pt>
              </c:strCache>
            </c:strRef>
          </c:cat>
          <c:val>
            <c:numRef>
              <c:f>CATA_Mouthfeel!$C$350:$S$350</c:f>
              <c:numCache>
                <c:formatCode>0.000</c:formatCode>
                <c:ptCount val="17"/>
                <c:pt idx="0">
                  <c:v>12.469996139735938</c:v>
                </c:pt>
                <c:pt idx="1">
                  <c:v>23.698021573431276</c:v>
                </c:pt>
                <c:pt idx="2">
                  <c:v>33.725133104985943</c:v>
                </c:pt>
                <c:pt idx="3">
                  <c:v>42.828292431811043</c:v>
                </c:pt>
                <c:pt idx="4">
                  <c:v>51.365964967187395</c:v>
                </c:pt>
                <c:pt idx="5">
                  <c:v>59.302527050730646</c:v>
                </c:pt>
                <c:pt idx="6">
                  <c:v>66.842811364854015</c:v>
                </c:pt>
                <c:pt idx="7">
                  <c:v>72.811283014850858</c:v>
                </c:pt>
                <c:pt idx="8">
                  <c:v>78.446786845572689</c:v>
                </c:pt>
                <c:pt idx="9">
                  <c:v>83.11915451344305</c:v>
                </c:pt>
                <c:pt idx="10">
                  <c:v>87.739632985062784</c:v>
                </c:pt>
                <c:pt idx="11">
                  <c:v>90.78666442635901</c:v>
                </c:pt>
                <c:pt idx="12">
                  <c:v>93.252010855067851</c:v>
                </c:pt>
                <c:pt idx="13">
                  <c:v>95.518770360237497</c:v>
                </c:pt>
                <c:pt idx="14">
                  <c:v>97.401937178240487</c:v>
                </c:pt>
                <c:pt idx="15">
                  <c:v>98.842500860802531</c:v>
                </c:pt>
                <c:pt idx="16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71-2949-81EB-7FE381679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618319"/>
        <c:axId val="1248336431"/>
      </c:lineChart>
      <c:catAx>
        <c:axId val="1235965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36018079"/>
        <c:crosses val="autoZero"/>
        <c:auto val="1"/>
        <c:lblAlgn val="ctr"/>
        <c:lblOffset val="100"/>
        <c:noMultiLvlLbl val="0"/>
      </c:catAx>
      <c:valAx>
        <c:axId val="123601807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5965759"/>
        <c:crosses val="autoZero"/>
        <c:crossBetween val="between"/>
      </c:valAx>
      <c:valAx>
        <c:axId val="124833643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3618319"/>
        <c:crosses val="max"/>
        <c:crossBetween val="between"/>
        <c:majorUnit val="20"/>
      </c:valAx>
      <c:catAx>
        <c:axId val="17136183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8336431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mouthfeel_afterfeel_slippery_high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440-4F48-AD0B-41C00C2206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mouthfeel_afterfeel_slippery_low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440-4F48-AD0B-41C00C2206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mouthfeel_afterfeel_astringency_drying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440-4F48-AD0B-41C00C2206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mouthfeel_afterfeel_astringency_low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440-4F48-AD0B-41C00C2206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mouthfeel_body_particulate_smooth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440-4F48-AD0B-41C00C2206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mouthfeel_body_particulate_gritty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440-4F48-AD0B-41C00C2206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440-4F48-AD0B-41C00C2206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mouthfeel_body_density_heavy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440-4F48-AD0B-41C00C2206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mouthfeel_body_viscosity_thin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440-4F48-AD0B-41C00C2206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mouthfeel_body_viscosity_thick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440-4F48-AD0B-41C00C2206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mouthfeel_effervescence_bubbledensity_dispersed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440-4F48-AD0B-41C00C2206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mouthfeel_effervescence_bubbledensity_compact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440-4F48-AD0B-41C00C2206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mouthfeel_effervescence_bubblesize_small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440-4F48-AD0B-41C00C2206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mouthfeel_effervescence_bubblesize_large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440-4F48-AD0B-41C00C2206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mouthfeel_effervescence_carbonation_burning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440-4F48-AD0B-41C00C2206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mouthfeel_irritation_alcohol_warm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440-4F48-AD0B-41C00C2206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mouthfeel_irritation_alcohol_burning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9440-4F48-AD0B-41C00C2206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mouthfeel_irritation_carbonation_tingle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9440-4F48-AD0B-41C00C2206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mouthfeel_irritation_cooling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9440-4F48-AD0B-41C00C2206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CATA_Mouthfeel!$C$374:$C$392</c:f>
              <c:numCache>
                <c:formatCode>0.000</c:formatCode>
                <c:ptCount val="19"/>
                <c:pt idx="0">
                  <c:v>0.91743816160597458</c:v>
                </c:pt>
                <c:pt idx="1">
                  <c:v>0.52317404721632044</c:v>
                </c:pt>
                <c:pt idx="2">
                  <c:v>-0.79577259362999764</c:v>
                </c:pt>
                <c:pt idx="3">
                  <c:v>0.75744810589241507</c:v>
                </c:pt>
                <c:pt idx="4">
                  <c:v>5.1784493837042166E-2</c:v>
                </c:pt>
                <c:pt idx="5">
                  <c:v>8.0536847799708385E-4</c:v>
                </c:pt>
                <c:pt idx="6">
                  <c:v>-0.67928809804039814</c:v>
                </c:pt>
                <c:pt idx="7">
                  <c:v>0.83985651662273719</c:v>
                </c:pt>
                <c:pt idx="8">
                  <c:v>-0.57486306536229437</c:v>
                </c:pt>
                <c:pt idx="9">
                  <c:v>1.2213521995291166</c:v>
                </c:pt>
                <c:pt idx="10">
                  <c:v>-0.27746952858424989</c:v>
                </c:pt>
                <c:pt idx="11">
                  <c:v>6.1878277925393145E-3</c:v>
                </c:pt>
                <c:pt idx="12">
                  <c:v>-0.4359249877308165</c:v>
                </c:pt>
                <c:pt idx="13">
                  <c:v>-0.4394892533055218</c:v>
                </c:pt>
                <c:pt idx="14">
                  <c:v>0.5584748807275326</c:v>
                </c:pt>
                <c:pt idx="15">
                  <c:v>-0.47487918066768442</c:v>
                </c:pt>
                <c:pt idx="16">
                  <c:v>-0.22645453216216191</c:v>
                </c:pt>
                <c:pt idx="17">
                  <c:v>-0.38850591439714377</c:v>
                </c:pt>
                <c:pt idx="18">
                  <c:v>-0.58387444782140241</c:v>
                </c:pt>
              </c:numCache>
            </c:numRef>
          </c:xVal>
          <c:yVal>
            <c:numRef>
              <c:f>CATA_Mouthfeel!$D$374:$D$392</c:f>
              <c:numCache>
                <c:formatCode>0.000</c:formatCode>
                <c:ptCount val="19"/>
                <c:pt idx="0">
                  <c:v>0.14619213691523608</c:v>
                </c:pt>
                <c:pt idx="1">
                  <c:v>0.88014728487422067</c:v>
                </c:pt>
                <c:pt idx="2">
                  <c:v>-0.30916958397887345</c:v>
                </c:pt>
                <c:pt idx="3">
                  <c:v>-0.54295140551899512</c:v>
                </c:pt>
                <c:pt idx="4">
                  <c:v>-0.40368327003903726</c:v>
                </c:pt>
                <c:pt idx="5">
                  <c:v>0.47385503421489544</c:v>
                </c:pt>
                <c:pt idx="6">
                  <c:v>0.27401118749451031</c:v>
                </c:pt>
                <c:pt idx="7">
                  <c:v>-0.5247766051440681</c:v>
                </c:pt>
                <c:pt idx="8">
                  <c:v>-0.59686703265253993</c:v>
                </c:pt>
                <c:pt idx="9">
                  <c:v>-0.23862030396794007</c:v>
                </c:pt>
                <c:pt idx="10">
                  <c:v>-0.81748805609355835</c:v>
                </c:pt>
                <c:pt idx="11">
                  <c:v>1.3252401030264853</c:v>
                </c:pt>
                <c:pt idx="12">
                  <c:v>-0.47665663195222407</c:v>
                </c:pt>
                <c:pt idx="13">
                  <c:v>0.48027496922522717</c:v>
                </c:pt>
                <c:pt idx="14">
                  <c:v>0.1303375924665488</c:v>
                </c:pt>
                <c:pt idx="15">
                  <c:v>-2.2122900472974452E-2</c:v>
                </c:pt>
                <c:pt idx="16">
                  <c:v>-0.50152257443297754</c:v>
                </c:pt>
                <c:pt idx="17">
                  <c:v>0.82076971956922096</c:v>
                </c:pt>
                <c:pt idx="18">
                  <c:v>-9.6969663533151701E-2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0-4F48-AD0B-41C00C220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84783"/>
        <c:axId val="1247982383"/>
      </c:scatterChart>
      <c:valAx>
        <c:axId val="1247984783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47982383"/>
        <c:crosses val="autoZero"/>
        <c:crossBetween val="midCat"/>
        <c:majorUnit val="0.5"/>
      </c:valAx>
      <c:valAx>
        <c:axId val="1247982383"/>
        <c:scaling>
          <c:orientation val="minMax"/>
          <c:max val="1.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47984783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CATA_Taste!$C$97:$E$97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CATA_Taste!$C$98:$E$98</c:f>
              <c:numCache>
                <c:formatCode>0.000</c:formatCode>
                <c:ptCount val="3"/>
                <c:pt idx="0">
                  <c:v>6.3105848961813468E-2</c:v>
                </c:pt>
                <c:pt idx="1">
                  <c:v>1.8181159341113737E-2</c:v>
                </c:pt>
                <c:pt idx="2">
                  <c:v>2.2053226303298209E-3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C-9244-A291-582630FD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01555439"/>
        <c:axId val="123895481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CATA_Taste!$C$97:$E$97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CATA_Taste!$C$100:$E$100</c:f>
              <c:numCache>
                <c:formatCode>0.000</c:formatCode>
                <c:ptCount val="3"/>
                <c:pt idx="0">
                  <c:v>75.582808931588801</c:v>
                </c:pt>
                <c:pt idx="1">
                  <c:v>97.358652458639909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5C-9244-A291-582630FDD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5094959"/>
        <c:axId val="1702313711"/>
      </c:lineChart>
      <c:catAx>
        <c:axId val="1701555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38954815"/>
        <c:crosses val="autoZero"/>
        <c:auto val="1"/>
        <c:lblAlgn val="ctr"/>
        <c:lblOffset val="100"/>
        <c:noMultiLvlLbl val="0"/>
      </c:catAx>
      <c:valAx>
        <c:axId val="123895481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01555439"/>
        <c:crosses val="autoZero"/>
        <c:crossBetween val="between"/>
      </c:valAx>
      <c:valAx>
        <c:axId val="170231371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5094959"/>
        <c:crosses val="max"/>
        <c:crossBetween val="between"/>
        <c:majorUnit val="20"/>
      </c:valAx>
      <c:catAx>
        <c:axId val="17150949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2313711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97.36 %)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0.12401526347668079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taste_sour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464-B445-BFAA-00083C63ACEC}"/>
                </c:ext>
              </c:extLst>
            </c:dLbl>
            <c:dLbl>
              <c:idx val="1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464-B445-BFAA-00083C63ACEC}"/>
                </c:ext>
              </c:extLst>
            </c:dLbl>
            <c:dLbl>
              <c:idx val="2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taste_salty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464-B445-BFAA-00083C63ACEC}"/>
                </c:ext>
              </c:extLst>
            </c:dLbl>
            <c:dLbl>
              <c:idx val="3"/>
              <c:layout>
                <c:manualLayout>
                  <c:x val="-1.5384615384615441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464-B445-BFAA-00083C63AC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XLSTAT_20201111_105027_1_HID!$B$6:$B$9</c:f>
              <c:numCache>
                <c:formatCode>General</c:formatCode>
                <c:ptCount val="4"/>
                <c:pt idx="0">
                  <c:v>-0.42103382828937214</c:v>
                </c:pt>
                <c:pt idx="1">
                  <c:v>0.13191532749039275</c:v>
                </c:pt>
                <c:pt idx="2">
                  <c:v>0.73380892034019096</c:v>
                </c:pt>
                <c:pt idx="3">
                  <c:v>1.9906510796259022E-3</c:v>
                </c:pt>
              </c:numCache>
            </c:numRef>
          </c:xVal>
          <c:yVal>
            <c:numRef>
              <c:f>XLSTAT_20201111_105027_1_HID!$C$6:$C$9</c:f>
              <c:numCache>
                <c:formatCode>General</c:formatCode>
                <c:ptCount val="4"/>
                <c:pt idx="0">
                  <c:v>-8.2750720674978934E-2</c:v>
                </c:pt>
                <c:pt idx="1">
                  <c:v>-9.4156308193406243E-2</c:v>
                </c:pt>
                <c:pt idx="2">
                  <c:v>-6.2858124122315034E-2</c:v>
                </c:pt>
                <c:pt idx="3">
                  <c:v>0.20329525347754621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64-B445-BFAA-00083C63ACEC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9.0815505754088435E-2"/>
                  <c:y val="1.75781250000000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464-B445-BFAA-00083C63ACEC}"/>
                </c:ext>
              </c:extLst>
            </c:dLbl>
            <c:dLbl>
              <c:idx val="1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464-B445-BFAA-00083C63ACEC}"/>
                </c:ext>
              </c:extLst>
            </c:dLbl>
            <c:dLbl>
              <c:idx val="2"/>
              <c:layout>
                <c:manualLayout>
                  <c:x val="-9.081550575408843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464-B445-BFAA-00083C63ACEC}"/>
                </c:ext>
              </c:extLst>
            </c:dLbl>
            <c:dLbl>
              <c:idx val="3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464-B445-BFAA-00083C63AC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XLSTAT_20201111_105027_1_HID!$B$2:$B$5</c:f>
              <c:numCache>
                <c:formatCode>General</c:formatCode>
                <c:ptCount val="4"/>
                <c:pt idx="0">
                  <c:v>-0.30982921947066844</c:v>
                </c:pt>
                <c:pt idx="1">
                  <c:v>0.32728599522832652</c:v>
                </c:pt>
                <c:pt idx="2">
                  <c:v>-0.11406699933653273</c:v>
                </c:pt>
                <c:pt idx="3">
                  <c:v>0.14086123223717584</c:v>
                </c:pt>
              </c:numCache>
            </c:numRef>
          </c:xVal>
          <c:yVal>
            <c:numRef>
              <c:f>XLSTAT_20201111_105027_1_HID!$C$2:$C$5</c:f>
              <c:numCache>
                <c:formatCode>General</c:formatCode>
                <c:ptCount val="4"/>
                <c:pt idx="0">
                  <c:v>-8.32418275160315E-2</c:v>
                </c:pt>
                <c:pt idx="1">
                  <c:v>2.8319486446806603E-2</c:v>
                </c:pt>
                <c:pt idx="2">
                  <c:v>0.24061774338814571</c:v>
                </c:pt>
                <c:pt idx="3">
                  <c:v>-0.1283018806182126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64-B445-BFAA-00083C63A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076191"/>
        <c:axId val="1715077823"/>
      </c:scatterChart>
      <c:valAx>
        <c:axId val="1715076191"/>
        <c:scaling>
          <c:orientation val="minMax"/>
          <c:max val="0.79999999999999838"/>
          <c:min val="-0.50000000000000011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(75.58 %)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5077823"/>
        <c:crosses val="autoZero"/>
        <c:crossBetween val="midCat"/>
        <c:majorUnit val="0.1"/>
      </c:valAx>
      <c:valAx>
        <c:axId val="1715077823"/>
        <c:scaling>
          <c:orientation val="minMax"/>
          <c:max val="0.39999999999999936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(21.78 %)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5076191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CATA_Taste!$C$152:$D$152</c:f>
              <c:strCache>
                <c:ptCount val="2"/>
                <c:pt idx="0">
                  <c:v>F1</c:v>
                </c:pt>
                <c:pt idx="1">
                  <c:v>F2</c:v>
                </c:pt>
              </c:strCache>
            </c:strRef>
          </c:cat>
          <c:val>
            <c:numRef>
              <c:f>CATA_Taste!$C$153:$D$153</c:f>
              <c:numCache>
                <c:formatCode>0.000</c:formatCode>
                <c:ptCount val="2"/>
                <c:pt idx="0">
                  <c:v>1.5178817174098047</c:v>
                </c:pt>
                <c:pt idx="1">
                  <c:v>0.59205884325469038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9D-9844-965F-65C286DD0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47967247"/>
        <c:axId val="124827622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CATA_Taste!$C$152:$D$152</c:f>
              <c:strCache>
                <c:ptCount val="2"/>
                <c:pt idx="0">
                  <c:v>F1</c:v>
                </c:pt>
                <c:pt idx="1">
                  <c:v>F2</c:v>
                </c:pt>
              </c:strCache>
            </c:strRef>
          </c:cat>
          <c:val>
            <c:numRef>
              <c:f>CATA_Taste!$C$155:$D$155</c:f>
              <c:numCache>
                <c:formatCode>0.000</c:formatCode>
                <c:ptCount val="2"/>
                <c:pt idx="0">
                  <c:v>71.939548710877887</c:v>
                </c:pt>
                <c:pt idx="1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9D-9844-965F-65C286DD0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874767"/>
        <c:axId val="1726567967"/>
      </c:lineChart>
      <c:catAx>
        <c:axId val="1247967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48276223"/>
        <c:crosses val="autoZero"/>
        <c:auto val="1"/>
        <c:lblAlgn val="ctr"/>
        <c:lblOffset val="100"/>
        <c:noMultiLvlLbl val="0"/>
      </c:catAx>
      <c:valAx>
        <c:axId val="12482762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47967247"/>
        <c:crosses val="autoZero"/>
        <c:crossBetween val="between"/>
      </c:valAx>
      <c:valAx>
        <c:axId val="172656796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6874767"/>
        <c:crosses val="max"/>
        <c:crossBetween val="between"/>
        <c:majorUnit val="20"/>
      </c:valAx>
      <c:catAx>
        <c:axId val="1726874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2656796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taste_sour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7F8-B247-8F22-2CA56F1B09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7F8-B247-8F22-2CA56F1B09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taste_salty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7F8-B247-8F22-2CA56F1B09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7F8-B247-8F22-2CA56F1B09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CATA_Taste!$C$179:$C$182</c:f>
              <c:numCache>
                <c:formatCode>0.000</c:formatCode>
                <c:ptCount val="4"/>
                <c:pt idx="0">
                  <c:v>0.87754282153053131</c:v>
                </c:pt>
                <c:pt idx="1">
                  <c:v>-5.3078907048602741E-2</c:v>
                </c:pt>
                <c:pt idx="2">
                  <c:v>-0.86229449193760688</c:v>
                </c:pt>
                <c:pt idx="3">
                  <c:v>3.7830577455677632E-2</c:v>
                </c:pt>
              </c:numCache>
            </c:numRef>
          </c:xVal>
          <c:yVal>
            <c:numRef>
              <c:f>CATA_Taste!$D$179:$D$182</c:f>
              <c:numCache>
                <c:formatCode>0.000</c:formatCode>
                <c:ptCount val="4"/>
                <c:pt idx="0">
                  <c:v>-3.7297874121497807E-2</c:v>
                </c:pt>
                <c:pt idx="1">
                  <c:v>0.60154666075315766</c:v>
                </c:pt>
                <c:pt idx="2">
                  <c:v>-9.5548697993819973E-2</c:v>
                </c:pt>
                <c:pt idx="3">
                  <c:v>-0.46870008863783963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8-B247-8F22-2CA56F1B0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601551"/>
        <c:axId val="1715603183"/>
      </c:scatterChart>
      <c:valAx>
        <c:axId val="1715601551"/>
        <c:scaling>
          <c:orientation val="minMax"/>
          <c:max val="1.5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15603183"/>
        <c:crosses val="autoZero"/>
        <c:crossBetween val="midCat"/>
        <c:majorUnit val="0.5"/>
      </c:valAx>
      <c:valAx>
        <c:axId val="1715603183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5601551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CATA_Aroma_Primary!$C$307:$E$307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CATA_Aroma_Primary!$C$308:$E$308</c:f>
              <c:numCache>
                <c:formatCode>0.000</c:formatCode>
                <c:ptCount val="3"/>
                <c:pt idx="0">
                  <c:v>5.4578203449414477E-2</c:v>
                </c:pt>
                <c:pt idx="1">
                  <c:v>4.140138768505456E-2</c:v>
                </c:pt>
                <c:pt idx="2">
                  <c:v>2.6119850746075195E-2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73-1043-B3A5-842E1CFF4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677899695"/>
        <c:axId val="167833316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CATA_Aroma_Primary!$C$307:$E$307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CATA_Aroma_Primary!$C$310:$E$310</c:f>
              <c:numCache>
                <c:formatCode>0.000</c:formatCode>
                <c:ptCount val="3"/>
                <c:pt idx="0">
                  <c:v>44.699797647569078</c:v>
                </c:pt>
                <c:pt idx="1">
                  <c:v>78.60772306262507</c:v>
                </c:pt>
                <c:pt idx="2">
                  <c:v>100.00000000000003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73-1043-B3A5-842E1CFF4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4548511"/>
        <c:axId val="1242837615"/>
      </c:lineChart>
      <c:catAx>
        <c:axId val="1677899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678333167"/>
        <c:crosses val="autoZero"/>
        <c:auto val="1"/>
        <c:lblAlgn val="ctr"/>
        <c:lblOffset val="100"/>
        <c:noMultiLvlLbl val="0"/>
      </c:catAx>
      <c:valAx>
        <c:axId val="167833316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77899695"/>
        <c:crosses val="autoZero"/>
        <c:crossBetween val="between"/>
      </c:valAx>
      <c:valAx>
        <c:axId val="12428376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4548511"/>
        <c:crosses val="max"/>
        <c:crossBetween val="between"/>
        <c:majorUnit val="20"/>
      </c:valAx>
      <c:catAx>
        <c:axId val="1714548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28376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78.61 %)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spicy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AD4-164E-B7DD-D8430A99781D}"/>
                </c:ext>
              </c:extLst>
            </c:dLbl>
            <c:dLbl>
              <c:idx val="1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aroma_alcoholic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AD4-164E-B7DD-D8430A99781D}"/>
                </c:ext>
              </c:extLst>
            </c:dLbl>
            <c:dLbl>
              <c:idx val="2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aroma_burnt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AD4-164E-B7DD-D8430A99781D}"/>
                </c:ext>
              </c:extLst>
            </c:dLbl>
            <c:dLbl>
              <c:idx val="3"/>
              <c:layout>
                <c:manualLayout>
                  <c:x val="-1.5384615384615498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AD4-164E-B7DD-D8430A99781D}"/>
                </c:ext>
              </c:extLst>
            </c:dLbl>
            <c:dLbl>
              <c:idx val="4"/>
              <c:layout>
                <c:manualLayout>
                  <c:x val="-0.14204603270745009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aroma_dairy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AD4-164E-B7DD-D8430A99781D}"/>
                </c:ext>
              </c:extLst>
            </c:dLbl>
            <c:dLbl>
              <c:idx val="5"/>
              <c:layout>
                <c:manualLayout>
                  <c:x val="-0.15504615384615389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AD4-164E-B7DD-D8430A99781D}"/>
                </c:ext>
              </c:extLst>
            </c:dLbl>
            <c:dLbl>
              <c:idx val="6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AD4-164E-B7DD-D8430A99781D}"/>
                </c:ext>
              </c:extLst>
            </c:dLbl>
            <c:dLbl>
              <c:idx val="7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AD4-164E-B7DD-D8430A99781D}"/>
                </c:ext>
              </c:extLst>
            </c:dLbl>
            <c:dLbl>
              <c:idx val="8"/>
              <c:layout>
                <c:manualLayout>
                  <c:x val="-0.15278473652331925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AD4-164E-B7DD-D8430A99781D}"/>
                </c:ext>
              </c:extLst>
            </c:dLbl>
            <c:dLbl>
              <c:idx val="9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aroma_herbacious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AD4-164E-B7DD-D8430A99781D}"/>
                </c:ext>
              </c:extLst>
            </c:dLbl>
            <c:dLbl>
              <c:idx val="10"/>
              <c:layout>
                <c:manualLayout>
                  <c:x val="-1.5384615384615498E-2"/>
                  <c:y val="1.7578124999999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aroma_metallic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AD4-164E-B7DD-D8430A99781D}"/>
                </c:ext>
              </c:extLst>
            </c:dLbl>
            <c:dLbl>
              <c:idx val="11"/>
              <c:layout>
                <c:manualLayout>
                  <c:x val="-0.14503089036947306"/>
                  <c:y val="1.75781250000000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AD4-164E-B7DD-D8430A99781D}"/>
                </c:ext>
              </c:extLst>
            </c:dLbl>
            <c:dLbl>
              <c:idx val="12"/>
              <c:layout>
                <c:manualLayout>
                  <c:x val="-0.13269218655360387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aroma_ripe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AD4-164E-B7DD-D8430A99781D}"/>
                </c:ext>
              </c:extLst>
            </c:dLbl>
            <c:dLbl>
              <c:idx val="13"/>
              <c:layout>
                <c:manualLayout>
                  <c:x val="-0.16190769230769231"/>
                  <c:y val="-3.12500000000000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aroma_solvent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AD4-164E-B7DD-D8430A99781D}"/>
                </c:ext>
              </c:extLst>
            </c:dLbl>
            <c:dLbl>
              <c:idx val="14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aroma_spicy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AD4-164E-B7DD-D8430A99781D}"/>
                </c:ext>
              </c:extLst>
            </c:dLbl>
            <c:dLbl>
              <c:idx val="15"/>
              <c:layout>
                <c:manualLayout>
                  <c:x val="-0.13983064809206547"/>
                  <c:y val="1.75781250000000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aroma_stale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AD4-164E-B7DD-D8430A99781D}"/>
                </c:ext>
              </c:extLst>
            </c:dLbl>
            <c:dLbl>
              <c:idx val="16"/>
              <c:layout>
                <c:manualLayout>
                  <c:x val="-0.20739987886129624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aroma_sweetaromatic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AD4-164E-B7DD-D8430A99781D}"/>
                </c:ext>
              </c:extLst>
            </c:dLbl>
            <c:dLbl>
              <c:idx val="17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aroma_vegetal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AD4-164E-B7DD-D8430A99781D}"/>
                </c:ext>
              </c:extLst>
            </c:dLbl>
            <c:dLbl>
              <c:idx val="18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aroma_waxy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AD4-164E-B7DD-D8430A99781D}"/>
                </c:ext>
              </c:extLst>
            </c:dLbl>
            <c:dLbl>
              <c:idx val="19"/>
              <c:layout>
                <c:manualLayout>
                  <c:x val="-0.15738461538461537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AD4-164E-B7DD-D8430A99781D}"/>
                </c:ext>
              </c:extLst>
            </c:dLbl>
            <c:dLbl>
              <c:idx val="20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AD4-164E-B7DD-D8430A997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XLSTAT_20201111_110229_1_HID!$B$6:$B$26</c:f>
              <c:numCache>
                <c:formatCode>General</c:formatCode>
                <c:ptCount val="21"/>
                <c:pt idx="0">
                  <c:v>3.9643478121036503E-2</c:v>
                </c:pt>
                <c:pt idx="1">
                  <c:v>0.35495176956371971</c:v>
                </c:pt>
                <c:pt idx="2">
                  <c:v>0.4357520908912571</c:v>
                </c:pt>
                <c:pt idx="3">
                  <c:v>6.6388243237677252E-2</c:v>
                </c:pt>
                <c:pt idx="4">
                  <c:v>-0.22982976787457485</c:v>
                </c:pt>
                <c:pt idx="5">
                  <c:v>-0.13740508772705651</c:v>
                </c:pt>
                <c:pt idx="6">
                  <c:v>0.45009466737340348</c:v>
                </c:pt>
                <c:pt idx="7">
                  <c:v>6.8796009501259581E-2</c:v>
                </c:pt>
                <c:pt idx="8">
                  <c:v>-0.12297480096791015</c:v>
                </c:pt>
                <c:pt idx="9">
                  <c:v>1.7153315311075768E-2</c:v>
                </c:pt>
                <c:pt idx="10">
                  <c:v>0.1245248817120309</c:v>
                </c:pt>
                <c:pt idx="11">
                  <c:v>-0.17458081794366925</c:v>
                </c:pt>
                <c:pt idx="12">
                  <c:v>-0.30772531659908803</c:v>
                </c:pt>
                <c:pt idx="13">
                  <c:v>-0.97621194796794408</c:v>
                </c:pt>
                <c:pt idx="14">
                  <c:v>3.9643478121036434E-2</c:v>
                </c:pt>
                <c:pt idx="15">
                  <c:v>-5.2244973291040782E-2</c:v>
                </c:pt>
                <c:pt idx="16">
                  <c:v>-0.47796062168839509</c:v>
                </c:pt>
                <c:pt idx="17">
                  <c:v>0.13733508614067438</c:v>
                </c:pt>
                <c:pt idx="18">
                  <c:v>0.52770985460063691</c:v>
                </c:pt>
                <c:pt idx="19">
                  <c:v>-0.47785055792123809</c:v>
                </c:pt>
                <c:pt idx="20">
                  <c:v>0</c:v>
                </c:pt>
              </c:numCache>
            </c:numRef>
          </c:xVal>
          <c:yVal>
            <c:numRef>
              <c:f>XLSTAT_20201111_110229_1_HID!$C$6:$C$26</c:f>
              <c:numCache>
                <c:formatCode>General</c:formatCode>
                <c:ptCount val="21"/>
                <c:pt idx="0">
                  <c:v>0.17995665537402175</c:v>
                </c:pt>
                <c:pt idx="1">
                  <c:v>0.57171496832594937</c:v>
                </c:pt>
                <c:pt idx="2">
                  <c:v>-0.11083495407553148</c:v>
                </c:pt>
                <c:pt idx="3">
                  <c:v>-9.9808640246346864E-2</c:v>
                </c:pt>
                <c:pt idx="4">
                  <c:v>0.15920200351107586</c:v>
                </c:pt>
                <c:pt idx="5">
                  <c:v>-0.1525737007194552</c:v>
                </c:pt>
                <c:pt idx="6">
                  <c:v>0.10204589502078569</c:v>
                </c:pt>
                <c:pt idx="7">
                  <c:v>-5.9275533284751394E-2</c:v>
                </c:pt>
                <c:pt idx="8">
                  <c:v>0.22331009984770211</c:v>
                </c:pt>
                <c:pt idx="9">
                  <c:v>0.3210851805687811</c:v>
                </c:pt>
                <c:pt idx="10">
                  <c:v>-0.49309895522244596</c:v>
                </c:pt>
                <c:pt idx="11">
                  <c:v>-0.16456908175941087</c:v>
                </c:pt>
                <c:pt idx="12">
                  <c:v>9.1911311227184989E-2</c:v>
                </c:pt>
                <c:pt idx="13">
                  <c:v>1.111788883499164</c:v>
                </c:pt>
                <c:pt idx="14">
                  <c:v>0.17995665537402178</c:v>
                </c:pt>
                <c:pt idx="15">
                  <c:v>-0.27481620669277534</c:v>
                </c:pt>
                <c:pt idx="16">
                  <c:v>-0.66030979399704526</c:v>
                </c:pt>
                <c:pt idx="17">
                  <c:v>-0.12974571067644688</c:v>
                </c:pt>
                <c:pt idx="18">
                  <c:v>0.38295135455063684</c:v>
                </c:pt>
                <c:pt idx="19">
                  <c:v>0.28159020755956998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D4-164E-B7DD-D8430A99781D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9.081550575408843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AD4-164E-B7DD-D8430A99781D}"/>
                </c:ext>
              </c:extLst>
            </c:dLbl>
            <c:dLbl>
              <c:idx val="1"/>
              <c:layout>
                <c:manualLayout>
                  <c:x val="-9.081550575408843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AD4-164E-B7DD-D8430A99781D}"/>
                </c:ext>
              </c:extLst>
            </c:dLbl>
            <c:dLbl>
              <c:idx val="2"/>
              <c:layout>
                <c:manualLayout>
                  <c:x val="-1.5384615384615498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AD4-164E-B7DD-D8430A99781D}"/>
                </c:ext>
              </c:extLst>
            </c:dLbl>
            <c:dLbl>
              <c:idx val="3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AD4-164E-B7DD-D8430A997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XLSTAT_20201111_110229_1_HID!$B$2:$B$5</c:f>
              <c:numCache>
                <c:formatCode>General</c:formatCode>
                <c:ptCount val="4"/>
                <c:pt idx="0">
                  <c:v>-0.22806242436651303</c:v>
                </c:pt>
                <c:pt idx="1">
                  <c:v>-0.15255620992236632</c:v>
                </c:pt>
                <c:pt idx="2">
                  <c:v>0.39390993579759387</c:v>
                </c:pt>
                <c:pt idx="3">
                  <c:v>2.832993192619384E-2</c:v>
                </c:pt>
              </c:numCache>
            </c:numRef>
          </c:xVal>
          <c:yVal>
            <c:numRef>
              <c:f>XLSTAT_20201111_110229_1_HID!$C$2:$C$5</c:f>
              <c:numCache>
                <c:formatCode>General</c:formatCode>
                <c:ptCount val="4"/>
                <c:pt idx="0">
                  <c:v>0.22621936360774628</c:v>
                </c:pt>
                <c:pt idx="1">
                  <c:v>-0.32930340287364956</c:v>
                </c:pt>
                <c:pt idx="2">
                  <c:v>6.4381098015320248E-3</c:v>
                </c:pt>
                <c:pt idx="3">
                  <c:v>7.525315712892941E-2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AD4-164E-B7DD-D8430A997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3809679"/>
        <c:axId val="1715880943"/>
      </c:scatterChart>
      <c:valAx>
        <c:axId val="1563809679"/>
        <c:scaling>
          <c:orientation val="minMax"/>
          <c:max val="1.5999999999999992"/>
          <c:min val="-1.7999999999999987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(44.70 %)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5880943"/>
        <c:crosses val="autoZero"/>
        <c:crossBetween val="midCat"/>
        <c:majorUnit val="0.2"/>
      </c:valAx>
      <c:valAx>
        <c:axId val="1715880943"/>
        <c:scaling>
          <c:orientation val="minMax"/>
          <c:max val="1.1999999999999984"/>
          <c:min val="-0.8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(33.91 %)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563809679"/>
        <c:crosses val="autoZero"/>
        <c:crossBetween val="midCat"/>
        <c:majorUnit val="0.2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CATA_FilterLenient!$C$241:$E$241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CATA_FilterLenient!$C$242:$E$242</c:f>
              <c:numCache>
                <c:formatCode>0.000</c:formatCode>
                <c:ptCount val="3"/>
                <c:pt idx="0">
                  <c:v>3.4075070253431129E-2</c:v>
                </c:pt>
                <c:pt idx="1">
                  <c:v>2.0433450954163091E-2</c:v>
                </c:pt>
                <c:pt idx="2">
                  <c:v>6.9074653187456061E-3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2C-B44D-A25D-A0CBADAD2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23600831"/>
        <c:axId val="172356564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CATA_FilterLenient!$C$241:$E$241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CATA_FilterLenient!$C$244:$E$244</c:f>
              <c:numCache>
                <c:formatCode>0.000</c:formatCode>
                <c:ptCount val="3"/>
                <c:pt idx="0">
                  <c:v>55.482411308034848</c:v>
                </c:pt>
                <c:pt idx="1">
                  <c:v>88.752984834358784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C-B44D-A25D-A0CBADAD2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063087"/>
        <c:axId val="1263358847"/>
      </c:lineChart>
      <c:catAx>
        <c:axId val="1723600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23565647"/>
        <c:crosses val="autoZero"/>
        <c:auto val="1"/>
        <c:lblAlgn val="ctr"/>
        <c:lblOffset val="100"/>
        <c:noMultiLvlLbl val="0"/>
      </c:catAx>
      <c:valAx>
        <c:axId val="17235656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3600831"/>
        <c:crosses val="autoZero"/>
        <c:crossBetween val="between"/>
      </c:valAx>
      <c:valAx>
        <c:axId val="126335884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63063087"/>
        <c:crosses val="max"/>
        <c:crossBetween val="between"/>
        <c:majorUnit val="20"/>
      </c:valAx>
      <c:catAx>
        <c:axId val="1263063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335884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88.75 %)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1.7578124999999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mouthfeel_afterfeel_astringency_drying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538-CE4D-82D1-82970EDEAF81}"/>
                </c:ext>
              </c:extLst>
            </c:dLbl>
            <c:dLbl>
              <c:idx val="1"/>
              <c:layout>
                <c:manualLayout>
                  <c:x val="-9.7646274984857659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538-CE4D-82D1-82970EDEAF81}"/>
                </c:ext>
              </c:extLst>
            </c:dLbl>
            <c:dLbl>
              <c:idx val="2"/>
              <c:layout>
                <c:manualLayout>
                  <c:x val="-0.20938461538461539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538-CE4D-82D1-82970EDEAF81}"/>
                </c:ext>
              </c:extLst>
            </c:dLbl>
            <c:dLbl>
              <c:idx val="3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mouthfeel_body_density_heavy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538-CE4D-82D1-82970EDEAF81}"/>
                </c:ext>
              </c:extLst>
            </c:dLbl>
            <c:dLbl>
              <c:idx val="4"/>
              <c:layout>
                <c:manualLayout>
                  <c:x val="-1.5384615384615385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taste_sour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538-CE4D-82D1-82970EDEAF81}"/>
                </c:ext>
              </c:extLst>
            </c:dLbl>
            <c:dLbl>
              <c:idx val="5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538-CE4D-82D1-82970EDEAF81}"/>
                </c:ext>
              </c:extLst>
            </c:dLbl>
            <c:dLbl>
              <c:idx val="6"/>
              <c:layout>
                <c:manualLayout>
                  <c:x val="-0.1378924288310115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538-CE4D-82D1-82970EDEAF81}"/>
                </c:ext>
              </c:extLst>
            </c:dLbl>
            <c:dLbl>
              <c:idx val="7"/>
              <c:layout>
                <c:manualLayout>
                  <c:x val="-0.15152295578437311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538-CE4D-82D1-82970EDEAF81}"/>
                </c:ext>
              </c:extLst>
            </c:dLbl>
            <c:dLbl>
              <c:idx val="8"/>
              <c:layout>
                <c:manualLayout>
                  <c:x val="-1.5384615384615498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aroma_cereal_malt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538-CE4D-82D1-82970EDEAF81}"/>
                </c:ext>
              </c:extLst>
            </c:dLbl>
            <c:dLbl>
              <c:idx val="9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538-CE4D-82D1-82970EDEAF81}"/>
                </c:ext>
              </c:extLst>
            </c:dLbl>
            <c:dLbl>
              <c:idx val="10"/>
              <c:layout>
                <c:manualLayout>
                  <c:x val="-0.14383064809206544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538-CE4D-82D1-82970EDEAF81}"/>
                </c:ext>
              </c:extLst>
            </c:dLbl>
            <c:dLbl>
              <c:idx val="11"/>
              <c:layout>
                <c:manualLayout>
                  <c:x val="-0.14550769230769237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538-CE4D-82D1-82970EDEAF81}"/>
                </c:ext>
              </c:extLst>
            </c:dLbl>
            <c:dLbl>
              <c:idx val="12"/>
              <c:layout>
                <c:manualLayout>
                  <c:x val="-0.20475372501514233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aroma_fruity_citrus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538-CE4D-82D1-82970EDEAF81}"/>
                </c:ext>
              </c:extLst>
            </c:dLbl>
            <c:dLbl>
              <c:idx val="13"/>
              <c:layout>
                <c:manualLayout>
                  <c:x val="-1.538461538461538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538-CE4D-82D1-82970EDEAF81}"/>
                </c:ext>
              </c:extLst>
            </c:dLbl>
            <c:dLbl>
              <c:idx val="14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538-CE4D-82D1-82970EDEAF81}"/>
                </c:ext>
              </c:extLst>
            </c:dLbl>
            <c:dLbl>
              <c:idx val="15"/>
              <c:layout>
                <c:manualLayout>
                  <c:x val="-1.5384615384615498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538-CE4D-82D1-82970EDEAF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XLSTAT_20201111_150415_1_HID!$B$6:$B$21</c:f>
              <c:numCache>
                <c:formatCode>General</c:formatCode>
                <c:ptCount val="16"/>
                <c:pt idx="0">
                  <c:v>8.1618115412600903E-2</c:v>
                </c:pt>
                <c:pt idx="1">
                  <c:v>-0.24388647054536725</c:v>
                </c:pt>
                <c:pt idx="2">
                  <c:v>-0.11406822854305047</c:v>
                </c:pt>
                <c:pt idx="3">
                  <c:v>0.15680239761997769</c:v>
                </c:pt>
                <c:pt idx="4">
                  <c:v>0.40887156817455261</c:v>
                </c:pt>
                <c:pt idx="5">
                  <c:v>9.9533257843355025E-2</c:v>
                </c:pt>
                <c:pt idx="6">
                  <c:v>-4.8024735700288208E-2</c:v>
                </c:pt>
                <c:pt idx="7">
                  <c:v>-9.1537458757671233E-2</c:v>
                </c:pt>
                <c:pt idx="8">
                  <c:v>7.0708579223397877E-2</c:v>
                </c:pt>
                <c:pt idx="9">
                  <c:v>4.2588846825739914E-2</c:v>
                </c:pt>
                <c:pt idx="10">
                  <c:v>-0.2758067705058394</c:v>
                </c:pt>
                <c:pt idx="11">
                  <c:v>-6.8659814990523052E-2</c:v>
                </c:pt>
                <c:pt idx="12">
                  <c:v>-6.8097377245595281E-2</c:v>
                </c:pt>
                <c:pt idx="13">
                  <c:v>0.24481663590403888</c:v>
                </c:pt>
                <c:pt idx="14">
                  <c:v>3.8335110894277082E-2</c:v>
                </c:pt>
                <c:pt idx="15">
                  <c:v>0.55671671530480249</c:v>
                </c:pt>
              </c:numCache>
            </c:numRef>
          </c:xVal>
          <c:yVal>
            <c:numRef>
              <c:f>XLSTAT_20201111_150415_1_HID!$C$6:$C$21</c:f>
              <c:numCache>
                <c:formatCode>General</c:formatCode>
                <c:ptCount val="16"/>
                <c:pt idx="0">
                  <c:v>-0.1805014075475749</c:v>
                </c:pt>
                <c:pt idx="1">
                  <c:v>-4.2088294420260221E-2</c:v>
                </c:pt>
                <c:pt idx="2">
                  <c:v>1.7430898038026176E-2</c:v>
                </c:pt>
                <c:pt idx="3">
                  <c:v>0.27483243217095438</c:v>
                </c:pt>
                <c:pt idx="4">
                  <c:v>0.31183741439812523</c:v>
                </c:pt>
                <c:pt idx="5">
                  <c:v>-0.16214393605710475</c:v>
                </c:pt>
                <c:pt idx="6">
                  <c:v>6.0408178675683405E-2</c:v>
                </c:pt>
                <c:pt idx="7">
                  <c:v>-1.2180728907132803E-2</c:v>
                </c:pt>
                <c:pt idx="8">
                  <c:v>-0.15236632653023172</c:v>
                </c:pt>
                <c:pt idx="9">
                  <c:v>-0.1449772485913853</c:v>
                </c:pt>
                <c:pt idx="10">
                  <c:v>0.32315366358686587</c:v>
                </c:pt>
                <c:pt idx="11">
                  <c:v>1.6533807527908281E-2</c:v>
                </c:pt>
                <c:pt idx="12">
                  <c:v>5.9341664411397453E-2</c:v>
                </c:pt>
                <c:pt idx="13">
                  <c:v>7.0604048720550719E-2</c:v>
                </c:pt>
                <c:pt idx="14">
                  <c:v>-0.24896992749648716</c:v>
                </c:pt>
                <c:pt idx="15">
                  <c:v>-9.7776599040862666E-2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38-CE4D-82D1-82970EDEAF81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538-CE4D-82D1-82970EDEAF81}"/>
                </c:ext>
              </c:extLst>
            </c:dLbl>
            <c:dLbl>
              <c:idx val="1"/>
              <c:layout>
                <c:manualLayout>
                  <c:x val="-9.0815505754088491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538-CE4D-82D1-82970EDEAF81}"/>
                </c:ext>
              </c:extLst>
            </c:dLbl>
            <c:dLbl>
              <c:idx val="2"/>
              <c:layout>
                <c:manualLayout>
                  <c:x val="-9.0815505754088491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538-CE4D-82D1-82970EDEAF81}"/>
                </c:ext>
              </c:extLst>
            </c:dLbl>
            <c:dLbl>
              <c:idx val="3"/>
              <c:layout>
                <c:manualLayout>
                  <c:x val="-0.11355372501514234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538-CE4D-82D1-82970EDEAF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XLSTAT_20201111_150415_1_HID!$B$2:$B$5</c:f>
              <c:numCache>
                <c:formatCode>General</c:formatCode>
                <c:ptCount val="4"/>
                <c:pt idx="0">
                  <c:v>0.28675521202822113</c:v>
                </c:pt>
                <c:pt idx="1">
                  <c:v>-8.4797265836001404E-2</c:v>
                </c:pt>
                <c:pt idx="2">
                  <c:v>-0.21717437870507919</c:v>
                </c:pt>
                <c:pt idx="3">
                  <c:v>-6.6777881708071233E-3</c:v>
                </c:pt>
              </c:numCache>
            </c:numRef>
          </c:xVal>
          <c:yVal>
            <c:numRef>
              <c:f>XLSTAT_20201111_150415_1_HID!$C$2:$C$5</c:f>
              <c:numCache>
                <c:formatCode>General</c:formatCode>
                <c:ptCount val="4"/>
                <c:pt idx="0">
                  <c:v>6.5958643458423144E-2</c:v>
                </c:pt>
                <c:pt idx="1">
                  <c:v>-0.20839453279644524</c:v>
                </c:pt>
                <c:pt idx="2">
                  <c:v>0.18568383120939139</c:v>
                </c:pt>
                <c:pt idx="3">
                  <c:v>-2.9242561219980739E-2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538-CE4D-82D1-82970EDEA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882735"/>
        <c:axId val="1723488207"/>
      </c:scatterChart>
      <c:valAx>
        <c:axId val="1722882735"/>
        <c:scaling>
          <c:orientation val="minMax"/>
          <c:max val="0.60000000000000009"/>
          <c:min val="-0.6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(55.48 %)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3488207"/>
        <c:crosses val="autoZero"/>
        <c:crossBetween val="midCat"/>
        <c:majorUnit val="0.1"/>
      </c:valAx>
      <c:valAx>
        <c:axId val="1723488207"/>
        <c:scaling>
          <c:orientation val="minMax"/>
          <c:max val="0.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(33.27 %)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22882735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CATA_FilterLenient!$C$308:$P$308</c:f>
              <c:strCache>
                <c:ptCount val="1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</c:strCache>
            </c:strRef>
          </c:cat>
          <c:val>
            <c:numRef>
              <c:f>CATA_FilterLenient!$C$309:$P$309</c:f>
              <c:numCache>
                <c:formatCode>0.000</c:formatCode>
                <c:ptCount val="14"/>
                <c:pt idx="0">
                  <c:v>4.9642914551538615</c:v>
                </c:pt>
                <c:pt idx="1">
                  <c:v>4.1838483080619602</c:v>
                </c:pt>
                <c:pt idx="2">
                  <c:v>3.5855311623482153</c:v>
                </c:pt>
                <c:pt idx="3">
                  <c:v>3.396908430283613</c:v>
                </c:pt>
                <c:pt idx="4">
                  <c:v>3.2923831679412214</c:v>
                </c:pt>
                <c:pt idx="5">
                  <c:v>2.6493931866364413</c:v>
                </c:pt>
                <c:pt idx="6">
                  <c:v>2.5271933660663444</c:v>
                </c:pt>
                <c:pt idx="7">
                  <c:v>2.1199566839507127</c:v>
                </c:pt>
                <c:pt idx="8">
                  <c:v>1.8525383066507517</c:v>
                </c:pt>
                <c:pt idx="9">
                  <c:v>1.5646315804318824</c:v>
                </c:pt>
                <c:pt idx="10">
                  <c:v>1.1978421455845489</c:v>
                </c:pt>
                <c:pt idx="11">
                  <c:v>1.1310226393689431</c:v>
                </c:pt>
                <c:pt idx="12">
                  <c:v>1.0403922316402483</c:v>
                </c:pt>
                <c:pt idx="13">
                  <c:v>0.52652863853335186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4F-3E42-82AB-8F2F291AE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39222015"/>
        <c:axId val="157651683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CATA_FilterLenient!$C$308:$P$308</c:f>
              <c:strCache>
                <c:ptCount val="1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</c:strCache>
            </c:strRef>
          </c:cat>
          <c:val>
            <c:numRef>
              <c:f>CATA_FilterLenient!$C$311:$P$311</c:f>
              <c:numCache>
                <c:formatCode>0.000</c:formatCode>
                <c:ptCount val="14"/>
                <c:pt idx="0">
                  <c:v>14.586930433876681</c:v>
                </c:pt>
                <c:pt idx="1">
                  <c:v>26.880629296426832</c:v>
                </c:pt>
                <c:pt idx="2">
                  <c:v>37.416250362625775</c:v>
                </c:pt>
                <c:pt idx="3">
                  <c:v>47.39762784829972</c:v>
                </c:pt>
                <c:pt idx="4">
                  <c:v>57.071871326201368</c:v>
                </c:pt>
                <c:pt idx="5">
                  <c:v>64.856771639685249</c:v>
                </c:pt>
                <c:pt idx="6">
                  <c:v>72.282603534686643</c:v>
                </c:pt>
                <c:pt idx="7">
                  <c:v>78.511822941117018</c:v>
                </c:pt>
                <c:pt idx="8">
                  <c:v>83.955267922001738</c:v>
                </c:pt>
                <c:pt idx="9">
                  <c:v>88.552736105444453</c:v>
                </c:pt>
                <c:pt idx="10">
                  <c:v>92.072440821868256</c:v>
                </c:pt>
                <c:pt idx="11">
                  <c:v>95.395805033791433</c:v>
                </c:pt>
                <c:pt idx="12">
                  <c:v>98.45286347687022</c:v>
                </c:pt>
                <c:pt idx="13">
                  <c:v>100.00000000000004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4F-3E42-82AB-8F2F291AE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7839775"/>
        <c:axId val="1678358015"/>
      </c:lineChart>
      <c:catAx>
        <c:axId val="1239222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576516831"/>
        <c:crosses val="autoZero"/>
        <c:auto val="1"/>
        <c:lblAlgn val="ctr"/>
        <c:lblOffset val="100"/>
        <c:noMultiLvlLbl val="0"/>
      </c:catAx>
      <c:valAx>
        <c:axId val="157651683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9222015"/>
        <c:crosses val="autoZero"/>
        <c:crossBetween val="between"/>
      </c:valAx>
      <c:valAx>
        <c:axId val="16783580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677839775"/>
        <c:crosses val="max"/>
        <c:crossBetween val="between"/>
        <c:majorUnit val="20"/>
      </c:valAx>
      <c:catAx>
        <c:axId val="1677839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3580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mouthfeel_afterfeel_astringency_drying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127-9D4B-833C-B638C71F5F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127-9D4B-833C-B638C71F5F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127-9D4B-833C-B638C71F5F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mouthfeel_body_density_heavy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127-9D4B-833C-B638C71F5F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taste_sour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127-9D4B-833C-B638C71F5F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127-9D4B-833C-B638C71F5F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127-9D4B-833C-B638C71F5F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127-9D4B-833C-B638C71F5F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aroma_cereal_malt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127-9D4B-833C-B638C71F5F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127-9D4B-833C-B638C71F5F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127-9D4B-833C-B638C71F5F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127-9D4B-833C-B638C71F5F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aroma_fruity_citrus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127-9D4B-833C-B638C71F5F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127-9D4B-833C-B638C71F5F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127-9D4B-833C-B638C71F5F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127-9D4B-833C-B638C71F5F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CATA_FilterLenient!$C$335:$C$350</c:f>
              <c:numCache>
                <c:formatCode>0.000</c:formatCode>
                <c:ptCount val="16"/>
                <c:pt idx="0">
                  <c:v>-0.83935760183807973</c:v>
                </c:pt>
                <c:pt idx="1">
                  <c:v>-0.5730624706697921</c:v>
                </c:pt>
                <c:pt idx="2">
                  <c:v>0.22550277355016618</c:v>
                </c:pt>
                <c:pt idx="3">
                  <c:v>6.7069616175163878E-3</c:v>
                </c:pt>
                <c:pt idx="4">
                  <c:v>3.012536991683671E-2</c:v>
                </c:pt>
                <c:pt idx="5">
                  <c:v>-4.5597854824772271E-2</c:v>
                </c:pt>
                <c:pt idx="6">
                  <c:v>6.2464802574233223E-2</c:v>
                </c:pt>
                <c:pt idx="7">
                  <c:v>1.0599873883916626</c:v>
                </c:pt>
                <c:pt idx="8">
                  <c:v>1.3030864090539265</c:v>
                </c:pt>
                <c:pt idx="9">
                  <c:v>-7.8341399672222603E-2</c:v>
                </c:pt>
                <c:pt idx="10">
                  <c:v>8.5552366821471409E-2</c:v>
                </c:pt>
                <c:pt idx="11">
                  <c:v>4.5151795274832179E-2</c:v>
                </c:pt>
                <c:pt idx="12">
                  <c:v>0.12073573514253071</c:v>
                </c:pt>
                <c:pt idx="13">
                  <c:v>-0.13764848212996816</c:v>
                </c:pt>
                <c:pt idx="14">
                  <c:v>-0.31448759325167491</c:v>
                </c:pt>
                <c:pt idx="15">
                  <c:v>-0.95081819995666594</c:v>
                </c:pt>
              </c:numCache>
            </c:numRef>
          </c:xVal>
          <c:yVal>
            <c:numRef>
              <c:f>CATA_FilterLenient!$D$335:$D$350</c:f>
              <c:numCache>
                <c:formatCode>0.000</c:formatCode>
                <c:ptCount val="16"/>
                <c:pt idx="0">
                  <c:v>-0.71000246519174226</c:v>
                </c:pt>
                <c:pt idx="1">
                  <c:v>0.24326981027302283</c:v>
                </c:pt>
                <c:pt idx="2">
                  <c:v>-0.38658482879174916</c:v>
                </c:pt>
                <c:pt idx="3">
                  <c:v>0.33172061100576861</c:v>
                </c:pt>
                <c:pt idx="4">
                  <c:v>0.28454664529886065</c:v>
                </c:pt>
                <c:pt idx="5">
                  <c:v>-0.11845005858586234</c:v>
                </c:pt>
                <c:pt idx="6">
                  <c:v>0.10312166037128073</c:v>
                </c:pt>
                <c:pt idx="7">
                  <c:v>0.45396665970979028</c:v>
                </c:pt>
                <c:pt idx="8">
                  <c:v>-0.24141786414736385</c:v>
                </c:pt>
                <c:pt idx="9">
                  <c:v>0.30525918446687739</c:v>
                </c:pt>
                <c:pt idx="10">
                  <c:v>-0.77939819526987064</c:v>
                </c:pt>
                <c:pt idx="11">
                  <c:v>-4.399197981643907E-2</c:v>
                </c:pt>
                <c:pt idx="12">
                  <c:v>-0.59984515779773528</c:v>
                </c:pt>
                <c:pt idx="13">
                  <c:v>-0.20506154288460626</c:v>
                </c:pt>
                <c:pt idx="14">
                  <c:v>1.3735068105013983</c:v>
                </c:pt>
                <c:pt idx="15">
                  <c:v>-1.0639289141631264E-2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27-9D4B-833C-B638C71F5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034159"/>
        <c:axId val="1715682671"/>
      </c:scatterChart>
      <c:valAx>
        <c:axId val="1716034159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15682671"/>
        <c:crosses val="autoZero"/>
        <c:crossBetween val="midCat"/>
        <c:majorUnit val="0.5"/>
      </c:valAx>
      <c:valAx>
        <c:axId val="1715682671"/>
        <c:scaling>
          <c:orientation val="minMax"/>
          <c:max val="1.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6034159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CATA_FilterLenient_McNemar!$C$241:$E$241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CATA_FilterLenient_McNemar!$C$242:$E$242</c:f>
              <c:numCache>
                <c:formatCode>0.000</c:formatCode>
                <c:ptCount val="3"/>
                <c:pt idx="0">
                  <c:v>3.4075070253431129E-2</c:v>
                </c:pt>
                <c:pt idx="1">
                  <c:v>2.0433450954163091E-2</c:v>
                </c:pt>
                <c:pt idx="2">
                  <c:v>6.9074653187456061E-3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68-444B-A8A1-2F70BFA01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133747951"/>
        <c:axId val="11524659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CATA_FilterLenient_McNemar!$C$241:$E$241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CATA_FilterLenient_McNemar!$C$244:$E$244</c:f>
              <c:numCache>
                <c:formatCode>0.000</c:formatCode>
                <c:ptCount val="3"/>
                <c:pt idx="0">
                  <c:v>55.482411308034848</c:v>
                </c:pt>
                <c:pt idx="1">
                  <c:v>88.752984834358784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68-444B-A8A1-2F70BFA01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79183"/>
        <c:axId val="1222938175"/>
      </c:lineChart>
      <c:catAx>
        <c:axId val="113374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152465903"/>
        <c:crosses val="autoZero"/>
        <c:auto val="1"/>
        <c:lblAlgn val="ctr"/>
        <c:lblOffset val="100"/>
        <c:noMultiLvlLbl val="0"/>
      </c:catAx>
      <c:valAx>
        <c:axId val="11524659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133747951"/>
        <c:crosses val="autoZero"/>
        <c:crossBetween val="between"/>
      </c:valAx>
      <c:valAx>
        <c:axId val="122293817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23679183"/>
        <c:crosses val="max"/>
        <c:crossBetween val="between"/>
        <c:majorUnit val="20"/>
      </c:valAx>
      <c:catAx>
        <c:axId val="1223679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293817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88.75 %)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1.75781249999998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mouthfeel_afterfeel_astringency_drying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E14-774D-A5D7-A534CB4FFC68}"/>
                </c:ext>
              </c:extLst>
            </c:dLbl>
            <c:dLbl>
              <c:idx val="1"/>
              <c:layout>
                <c:manualLayout>
                  <c:x val="-9.7646274984857659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14-774D-A5D7-A534CB4FFC68}"/>
                </c:ext>
              </c:extLst>
            </c:dLbl>
            <c:dLbl>
              <c:idx val="2"/>
              <c:layout>
                <c:manualLayout>
                  <c:x val="-0.20938461538461539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14-774D-A5D7-A534CB4FFC68}"/>
                </c:ext>
              </c:extLst>
            </c:dLbl>
            <c:dLbl>
              <c:idx val="3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mouthfeel_body_density_heavy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14-774D-A5D7-A534CB4FFC68}"/>
                </c:ext>
              </c:extLst>
            </c:dLbl>
            <c:dLbl>
              <c:idx val="4"/>
              <c:layout>
                <c:manualLayout>
                  <c:x val="-1.5384615384615385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taste_sour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14-774D-A5D7-A534CB4FFC68}"/>
                </c:ext>
              </c:extLst>
            </c:dLbl>
            <c:dLbl>
              <c:idx val="5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14-774D-A5D7-A534CB4FFC68}"/>
                </c:ext>
              </c:extLst>
            </c:dLbl>
            <c:dLbl>
              <c:idx val="6"/>
              <c:layout>
                <c:manualLayout>
                  <c:x val="-0.1378924288310115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14-774D-A5D7-A534CB4FFC68}"/>
                </c:ext>
              </c:extLst>
            </c:dLbl>
            <c:dLbl>
              <c:idx val="7"/>
              <c:layout>
                <c:manualLayout>
                  <c:x val="-0.15152295578437311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14-774D-A5D7-A534CB4FFC68}"/>
                </c:ext>
              </c:extLst>
            </c:dLbl>
            <c:dLbl>
              <c:idx val="8"/>
              <c:layout>
                <c:manualLayout>
                  <c:x val="-1.5384615384615498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aroma_cereal_malt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E14-774D-A5D7-A534CB4FFC68}"/>
                </c:ext>
              </c:extLst>
            </c:dLbl>
            <c:dLbl>
              <c:idx val="9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E14-774D-A5D7-A534CB4FFC68}"/>
                </c:ext>
              </c:extLst>
            </c:dLbl>
            <c:dLbl>
              <c:idx val="10"/>
              <c:layout>
                <c:manualLayout>
                  <c:x val="-0.14383064809206544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14-774D-A5D7-A534CB4FFC68}"/>
                </c:ext>
              </c:extLst>
            </c:dLbl>
            <c:dLbl>
              <c:idx val="11"/>
              <c:layout>
                <c:manualLayout>
                  <c:x val="-0.14550769230769237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E14-774D-A5D7-A534CB4FFC68}"/>
                </c:ext>
              </c:extLst>
            </c:dLbl>
            <c:dLbl>
              <c:idx val="12"/>
              <c:layout>
                <c:manualLayout>
                  <c:x val="-0.20475372501514233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aroma_fruity_citrus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E14-774D-A5D7-A534CB4FFC68}"/>
                </c:ext>
              </c:extLst>
            </c:dLbl>
            <c:dLbl>
              <c:idx val="13"/>
              <c:layout>
                <c:manualLayout>
                  <c:x val="-1.5384615384615385E-2"/>
                  <c:y val="-3.12500000000000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E14-774D-A5D7-A534CB4FFC68}"/>
                </c:ext>
              </c:extLst>
            </c:dLbl>
            <c:dLbl>
              <c:idx val="14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E14-774D-A5D7-A534CB4FFC68}"/>
                </c:ext>
              </c:extLst>
            </c:dLbl>
            <c:dLbl>
              <c:idx val="15"/>
              <c:layout>
                <c:manualLayout>
                  <c:x val="-1.5384615384615498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E14-774D-A5D7-A534CB4FFC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XLSTAT_20210228_143815_1_HID!$B$6:$B$21</c:f>
              <c:numCache>
                <c:formatCode>General</c:formatCode>
                <c:ptCount val="16"/>
                <c:pt idx="0">
                  <c:v>8.1618115412600903E-2</c:v>
                </c:pt>
                <c:pt idx="1">
                  <c:v>-0.24388647054536725</c:v>
                </c:pt>
                <c:pt idx="2">
                  <c:v>-0.11406822854305047</c:v>
                </c:pt>
                <c:pt idx="3">
                  <c:v>0.15680239761997769</c:v>
                </c:pt>
                <c:pt idx="4">
                  <c:v>0.40887156817455261</c:v>
                </c:pt>
                <c:pt idx="5">
                  <c:v>9.9533257843355025E-2</c:v>
                </c:pt>
                <c:pt idx="6">
                  <c:v>-4.8024735700288208E-2</c:v>
                </c:pt>
                <c:pt idx="7">
                  <c:v>-9.1537458757671233E-2</c:v>
                </c:pt>
                <c:pt idx="8">
                  <c:v>7.0708579223397877E-2</c:v>
                </c:pt>
                <c:pt idx="9">
                  <c:v>4.2588846825739914E-2</c:v>
                </c:pt>
                <c:pt idx="10">
                  <c:v>-0.2758067705058394</c:v>
                </c:pt>
                <c:pt idx="11">
                  <c:v>-6.8659814990523052E-2</c:v>
                </c:pt>
                <c:pt idx="12">
                  <c:v>-6.8097377245595281E-2</c:v>
                </c:pt>
                <c:pt idx="13">
                  <c:v>0.24481663590403888</c:v>
                </c:pt>
                <c:pt idx="14">
                  <c:v>3.8335110894277082E-2</c:v>
                </c:pt>
                <c:pt idx="15">
                  <c:v>0.55671671530480249</c:v>
                </c:pt>
              </c:numCache>
            </c:numRef>
          </c:xVal>
          <c:yVal>
            <c:numRef>
              <c:f>XLSTAT_20210228_143815_1_HID!$C$6:$C$21</c:f>
              <c:numCache>
                <c:formatCode>General</c:formatCode>
                <c:ptCount val="16"/>
                <c:pt idx="0">
                  <c:v>-0.1805014075475749</c:v>
                </c:pt>
                <c:pt idx="1">
                  <c:v>-4.2088294420260221E-2</c:v>
                </c:pt>
                <c:pt idx="2">
                  <c:v>1.7430898038026176E-2</c:v>
                </c:pt>
                <c:pt idx="3">
                  <c:v>0.27483243217095438</c:v>
                </c:pt>
                <c:pt idx="4">
                  <c:v>0.31183741439812523</c:v>
                </c:pt>
                <c:pt idx="5">
                  <c:v>-0.16214393605710475</c:v>
                </c:pt>
                <c:pt idx="6">
                  <c:v>6.0408178675683405E-2</c:v>
                </c:pt>
                <c:pt idx="7">
                  <c:v>-1.2180728907132803E-2</c:v>
                </c:pt>
                <c:pt idx="8">
                  <c:v>-0.15236632653023172</c:v>
                </c:pt>
                <c:pt idx="9">
                  <c:v>-0.1449772485913853</c:v>
                </c:pt>
                <c:pt idx="10">
                  <c:v>0.32315366358686587</c:v>
                </c:pt>
                <c:pt idx="11">
                  <c:v>1.6533807527908281E-2</c:v>
                </c:pt>
                <c:pt idx="12">
                  <c:v>5.9341664411397453E-2</c:v>
                </c:pt>
                <c:pt idx="13">
                  <c:v>7.0604048720550719E-2</c:v>
                </c:pt>
                <c:pt idx="14">
                  <c:v>-0.24896992749648716</c:v>
                </c:pt>
                <c:pt idx="15">
                  <c:v>-9.7776599040862666E-2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4-774D-A5D7-A534CB4FFC68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E14-774D-A5D7-A534CB4FFC68}"/>
                </c:ext>
              </c:extLst>
            </c:dLbl>
            <c:dLbl>
              <c:idx val="1"/>
              <c:layout>
                <c:manualLayout>
                  <c:x val="-9.0815505754088491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E14-774D-A5D7-A534CB4FFC68}"/>
                </c:ext>
              </c:extLst>
            </c:dLbl>
            <c:dLbl>
              <c:idx val="2"/>
              <c:layout>
                <c:manualLayout>
                  <c:x val="-9.0815505754088491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E14-774D-A5D7-A534CB4FFC68}"/>
                </c:ext>
              </c:extLst>
            </c:dLbl>
            <c:dLbl>
              <c:idx val="3"/>
              <c:layout>
                <c:manualLayout>
                  <c:x val="-0.11355372501514234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E14-774D-A5D7-A534CB4FFC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XLSTAT_20210228_143815_1_HID!$B$2:$B$5</c:f>
              <c:numCache>
                <c:formatCode>General</c:formatCode>
                <c:ptCount val="4"/>
                <c:pt idx="0">
                  <c:v>0.28675521202822113</c:v>
                </c:pt>
                <c:pt idx="1">
                  <c:v>-8.4797265836001404E-2</c:v>
                </c:pt>
                <c:pt idx="2">
                  <c:v>-0.21717437870507919</c:v>
                </c:pt>
                <c:pt idx="3">
                  <c:v>-6.6777881708071233E-3</c:v>
                </c:pt>
              </c:numCache>
            </c:numRef>
          </c:xVal>
          <c:yVal>
            <c:numRef>
              <c:f>XLSTAT_20210228_143815_1_HID!$C$2:$C$5</c:f>
              <c:numCache>
                <c:formatCode>General</c:formatCode>
                <c:ptCount val="4"/>
                <c:pt idx="0">
                  <c:v>6.5958643458423144E-2</c:v>
                </c:pt>
                <c:pt idx="1">
                  <c:v>-0.20839453279644524</c:v>
                </c:pt>
                <c:pt idx="2">
                  <c:v>0.18568383120939139</c:v>
                </c:pt>
                <c:pt idx="3">
                  <c:v>-2.9242561219980739E-2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E14-774D-A5D7-A534CB4FF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236783"/>
        <c:axId val="1222093823"/>
      </c:scatterChart>
      <c:valAx>
        <c:axId val="1222236783"/>
        <c:scaling>
          <c:orientation val="minMax"/>
          <c:max val="0.60000000000000009"/>
          <c:min val="-0.6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(55.48 %)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22093823"/>
        <c:crosses val="autoZero"/>
        <c:crossBetween val="midCat"/>
        <c:majorUnit val="0.1"/>
      </c:valAx>
      <c:valAx>
        <c:axId val="1222093823"/>
        <c:scaling>
          <c:orientation val="minMax"/>
          <c:max val="0.4"/>
          <c:min val="-0.3000000000000000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(33.27 %)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22236783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CATA_FilterLenient_McNemar!$C$308:$P$308</c:f>
              <c:strCache>
                <c:ptCount val="1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</c:strCache>
            </c:strRef>
          </c:cat>
          <c:val>
            <c:numRef>
              <c:f>CATA_FilterLenient_McNemar!$C$309:$P$309</c:f>
              <c:numCache>
                <c:formatCode>0.000</c:formatCode>
                <c:ptCount val="14"/>
                <c:pt idx="0">
                  <c:v>4.9642914551538615</c:v>
                </c:pt>
                <c:pt idx="1">
                  <c:v>4.1838483080619602</c:v>
                </c:pt>
                <c:pt idx="2">
                  <c:v>3.5855311623482153</c:v>
                </c:pt>
                <c:pt idx="3">
                  <c:v>3.396908430283613</c:v>
                </c:pt>
                <c:pt idx="4">
                  <c:v>3.2923831679412214</c:v>
                </c:pt>
                <c:pt idx="5">
                  <c:v>2.6493931866364413</c:v>
                </c:pt>
                <c:pt idx="6">
                  <c:v>2.5271933660663444</c:v>
                </c:pt>
                <c:pt idx="7">
                  <c:v>2.1199566839507127</c:v>
                </c:pt>
                <c:pt idx="8">
                  <c:v>1.8525383066507517</c:v>
                </c:pt>
                <c:pt idx="9">
                  <c:v>1.5646315804318824</c:v>
                </c:pt>
                <c:pt idx="10">
                  <c:v>1.1978421455845489</c:v>
                </c:pt>
                <c:pt idx="11">
                  <c:v>1.1310226393689431</c:v>
                </c:pt>
                <c:pt idx="12">
                  <c:v>1.0403922316402483</c:v>
                </c:pt>
                <c:pt idx="13">
                  <c:v>0.52652863853335186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D-8E42-8422-FC5056585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069420223"/>
        <c:axId val="12313227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CATA_FilterLenient_McNemar!$C$308:$P$308</c:f>
              <c:strCache>
                <c:ptCount val="1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</c:strCache>
            </c:strRef>
          </c:cat>
          <c:val>
            <c:numRef>
              <c:f>CATA_FilterLenient_McNemar!$C$311:$P$311</c:f>
              <c:numCache>
                <c:formatCode>0.000</c:formatCode>
                <c:ptCount val="14"/>
                <c:pt idx="0">
                  <c:v>14.586930433876681</c:v>
                </c:pt>
                <c:pt idx="1">
                  <c:v>26.880629296426832</c:v>
                </c:pt>
                <c:pt idx="2">
                  <c:v>37.416250362625775</c:v>
                </c:pt>
                <c:pt idx="3">
                  <c:v>47.39762784829972</c:v>
                </c:pt>
                <c:pt idx="4">
                  <c:v>57.071871326201368</c:v>
                </c:pt>
                <c:pt idx="5">
                  <c:v>64.856771639685249</c:v>
                </c:pt>
                <c:pt idx="6">
                  <c:v>72.282603534686643</c:v>
                </c:pt>
                <c:pt idx="7">
                  <c:v>78.511822941117018</c:v>
                </c:pt>
                <c:pt idx="8">
                  <c:v>83.955267922001738</c:v>
                </c:pt>
                <c:pt idx="9">
                  <c:v>88.552736105444453</c:v>
                </c:pt>
                <c:pt idx="10">
                  <c:v>92.072440821868256</c:v>
                </c:pt>
                <c:pt idx="11">
                  <c:v>95.395805033791433</c:v>
                </c:pt>
                <c:pt idx="12">
                  <c:v>98.45286347687022</c:v>
                </c:pt>
                <c:pt idx="13">
                  <c:v>100.00000000000004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2D-8E42-8422-FC5056585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203983"/>
        <c:axId val="1231769103"/>
      </c:lineChart>
      <c:catAx>
        <c:axId val="1069420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31322703"/>
        <c:crosses val="autoZero"/>
        <c:auto val="1"/>
        <c:lblAlgn val="ctr"/>
        <c:lblOffset val="100"/>
        <c:noMultiLvlLbl val="0"/>
      </c:catAx>
      <c:valAx>
        <c:axId val="12313227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69420223"/>
        <c:crosses val="autoZero"/>
        <c:crossBetween val="between"/>
      </c:valAx>
      <c:valAx>
        <c:axId val="123176910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31203983"/>
        <c:crosses val="max"/>
        <c:crossBetween val="between"/>
        <c:majorUnit val="20"/>
      </c:valAx>
      <c:catAx>
        <c:axId val="12312039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176910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mouthfeel_afterfeel_astringency_drying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DEE-4C4B-8E4C-8DAEA9B15D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EE-4C4B-8E4C-8DAEA9B15D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DEE-4C4B-8E4C-8DAEA9B15D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mouthfeel_body_density_heavy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EE-4C4B-8E4C-8DAEA9B15D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taste_sour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DEE-4C4B-8E4C-8DAEA9B15D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EE-4C4B-8E4C-8DAEA9B15D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DEE-4C4B-8E4C-8DAEA9B15D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EE-4C4B-8E4C-8DAEA9B15D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aroma_cereal_malt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DEE-4C4B-8E4C-8DAEA9B15D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EE-4C4B-8E4C-8DAEA9B15D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DEE-4C4B-8E4C-8DAEA9B15D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EE-4C4B-8E4C-8DAEA9B15D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aroma_fruity_citrus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DEE-4C4B-8E4C-8DAEA9B15D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EE-4C4B-8E4C-8DAEA9B15D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DEE-4C4B-8E4C-8DAEA9B15D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DEE-4C4B-8E4C-8DAEA9B15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CATA_FilterLenient_McNemar!$C$335:$C$350</c:f>
              <c:numCache>
                <c:formatCode>0.000</c:formatCode>
                <c:ptCount val="16"/>
                <c:pt idx="0">
                  <c:v>-0.83935760183807973</c:v>
                </c:pt>
                <c:pt idx="1">
                  <c:v>-0.5730624706697921</c:v>
                </c:pt>
                <c:pt idx="2">
                  <c:v>0.22550277355016618</c:v>
                </c:pt>
                <c:pt idx="3">
                  <c:v>6.7069616175163878E-3</c:v>
                </c:pt>
                <c:pt idx="4">
                  <c:v>3.012536991683671E-2</c:v>
                </c:pt>
                <c:pt idx="5">
                  <c:v>-4.5597854824772271E-2</c:v>
                </c:pt>
                <c:pt idx="6">
                  <c:v>6.2464802574233223E-2</c:v>
                </c:pt>
                <c:pt idx="7">
                  <c:v>1.0599873883916626</c:v>
                </c:pt>
                <c:pt idx="8">
                  <c:v>1.3030864090539265</c:v>
                </c:pt>
                <c:pt idx="9">
                  <c:v>-7.8341399672222603E-2</c:v>
                </c:pt>
                <c:pt idx="10">
                  <c:v>8.5552366821471409E-2</c:v>
                </c:pt>
                <c:pt idx="11">
                  <c:v>4.5151795274832179E-2</c:v>
                </c:pt>
                <c:pt idx="12">
                  <c:v>0.12073573514253071</c:v>
                </c:pt>
                <c:pt idx="13">
                  <c:v>-0.13764848212996816</c:v>
                </c:pt>
                <c:pt idx="14">
                  <c:v>-0.31448759325167491</c:v>
                </c:pt>
                <c:pt idx="15">
                  <c:v>-0.95081819995666594</c:v>
                </c:pt>
              </c:numCache>
            </c:numRef>
          </c:xVal>
          <c:yVal>
            <c:numRef>
              <c:f>CATA_FilterLenient_McNemar!$D$335:$D$350</c:f>
              <c:numCache>
                <c:formatCode>0.000</c:formatCode>
                <c:ptCount val="16"/>
                <c:pt idx="0">
                  <c:v>-0.71000246519174226</c:v>
                </c:pt>
                <c:pt idx="1">
                  <c:v>0.24326981027302283</c:v>
                </c:pt>
                <c:pt idx="2">
                  <c:v>-0.38658482879174916</c:v>
                </c:pt>
                <c:pt idx="3">
                  <c:v>0.33172061100576861</c:v>
                </c:pt>
                <c:pt idx="4">
                  <c:v>0.28454664529886065</c:v>
                </c:pt>
                <c:pt idx="5">
                  <c:v>-0.11845005858586234</c:v>
                </c:pt>
                <c:pt idx="6">
                  <c:v>0.10312166037128073</c:v>
                </c:pt>
                <c:pt idx="7">
                  <c:v>0.45396665970979028</c:v>
                </c:pt>
                <c:pt idx="8">
                  <c:v>-0.24141786414736385</c:v>
                </c:pt>
                <c:pt idx="9">
                  <c:v>0.30525918446687739</c:v>
                </c:pt>
                <c:pt idx="10">
                  <c:v>-0.77939819526987064</c:v>
                </c:pt>
                <c:pt idx="11">
                  <c:v>-4.399197981643907E-2</c:v>
                </c:pt>
                <c:pt idx="12">
                  <c:v>-0.59984515779773528</c:v>
                </c:pt>
                <c:pt idx="13">
                  <c:v>-0.20506154288460626</c:v>
                </c:pt>
                <c:pt idx="14">
                  <c:v>1.3735068105013983</c:v>
                </c:pt>
                <c:pt idx="15">
                  <c:v>-1.0639289141631264E-2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EE-4C4B-8E4C-8DAEA9B15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294287"/>
        <c:axId val="1222614047"/>
      </c:scatterChart>
      <c:valAx>
        <c:axId val="1222294287"/>
        <c:scaling>
          <c:orientation val="minMax"/>
          <c:max val="2"/>
          <c:min val="-1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222614047"/>
        <c:crosses val="autoZero"/>
        <c:crossBetween val="midCat"/>
        <c:majorUnit val="0.5"/>
      </c:valAx>
      <c:valAx>
        <c:axId val="1222614047"/>
        <c:scaling>
          <c:orientation val="minMax"/>
          <c:max val="1.5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222294287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mouthfeel_afterfeel_slippery_high"/>
    <item val="Differences between products for attribute mouthfeel_afterfeel_slippery_low"/>
    <item val="Differences between products for attribute mouthfeel_afterfeel_astringency_drying"/>
    <item val="Differences between products for attribute mouthfeel_afterfeel_astringency_low"/>
    <item val="Differences between products for attribute mouthfeel_body_particulate_smooth"/>
    <item val="Differences between products for attribute mouthfeel_body_particulate_gritty"/>
    <item val="Differences between products for attribute mouthfeel_body_density_light"/>
    <item val="Differences between products for attribute mouthfeel_body_density_heavy"/>
    <item val="Differences between products for attribute mouthfeel_body_viscosity_thin"/>
    <item val="Differences between products for attribute mouthfeel_body_viscosity_thick"/>
    <item val="Differences between products for attribute mouthfeel_effervescence_bubbledensity_dispersed"/>
    <item val="Differences between products for attribute mouthfeel_effervescence_bubbledensity_compact"/>
    <item val="Differences between products for attribute mouthfeel_effervescence_bubblesize_small"/>
    <item val="Differences between products for attribute mouthfeel_effervescence_bubblesize_large"/>
    <item val="Differences between products for attribute mouthfeel_effervescence_carbonation_burning"/>
    <item val="Differences between products for attribute mouthfeel_irritation_alcohol_warm"/>
    <item val="Differences between products for attribute mouthfeel_irritation_alcohol_burning"/>
    <item val="Differences between products for attribute mouthfeel_irritation_carbonation_tingle"/>
    <item val="Differences between products for attribute mouthfeel_irritation_cooling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ctrlProps/ctrlProp2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taste_sour"/>
    <item val="Differences between products for attribute taste_bitter"/>
    <item val="Differences between products for attribute taste_salty"/>
    <item val="Differences between products for attribute taste_sweet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ctrlProps/ctrlProp3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spicy"/>
    <item val="Differences between products for attribute aroma_alcoholic"/>
    <item val="Differences between products for attribute aroma_burnt"/>
    <item val="Differences between products for attribute aroma_cereal"/>
    <item val="Differences between products for attribute aroma_dairy"/>
    <item val="Differences between products for attribute aroma_earthy"/>
    <item val="Differences between products for attribute aroma_floral"/>
    <item val="Differences between products for attribute aroma_fruity"/>
    <item val="Differences between products for attribute aroma_grassy"/>
    <item val="Differences between products for attribute aroma_herbacious"/>
    <item val="Differences between products for attribute aroma_meaty"/>
    <item val="Differences between products for attribute aroma_metallic"/>
    <item val="Differences between products for attribute aroma_nutty"/>
    <item val="Differences between products for attribute aroma_ripe"/>
    <item val="Differences between products for attribute aroma_solvent"/>
    <item val="Differences between products for attribute aroma_spicy"/>
    <item val="Differences between products for attribute aroma_stale"/>
    <item val="Differences between products for attribute aroma_sweetaromatic"/>
    <item val="Differences between products for attribute aroma_vegetal"/>
    <item val="Differences between products for attribute aroma_waxy"/>
    <item val="Differences between products for attribute aroma_woody"/>
    <item val="Contingency table built from CATA data"/>
    <item val="Attributes removed for correspondence analysis"/>
    <item val="Test of independence between the rows and the columns"/>
    <item val="Eigenvalues and percentages of inertia"/>
    <item val="Principal Coordinate Analysis"/>
    <item val="Correlations"/>
  </itemLst>
</formControlPr>
</file>

<file path=xl/ctrlProps/ctrlProp4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mouthfeel_afterfeel_astringency_drying"/>
    <item val="Differences between products for attribute smooth"/>
    <item val="Differences between products for attribute mouthfeel_body_density_light"/>
    <item val="Differences between products for attribute mouthfeel_body_density_heavy"/>
    <item val="Differences between products for attribute taste_sour"/>
    <item val="Differences between products for attribute taste_bitter"/>
    <item val="Differences between products for attribute taste_sweet"/>
    <item val="Differences between products for attribute aroma_cereal"/>
    <item val="Differences between products for attribute aroma_cereal_malt"/>
    <item val="Differences between products for attribute aroma_earthy"/>
    <item val="Differences between products for attribute aroma_floral"/>
    <item val="Differences between products for attribute aroma_fruity"/>
    <item val="Differences between products for attribute aroma_fruity_citrus"/>
    <item val="Differences between products for attribute aroma_grassy"/>
    <item val="Differences between products for attribute aroma_nutty"/>
    <item val="Differences between products for attribute aroma_woody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ctrlProps/ctrlProp5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McNemar(Bonferroni) procedure"/>
    <item val="mouthfeel_afterfeel_astringency_drying / p-values:"/>
    <item val="smooth / p-values:"/>
    <item val="mouthfeel_body_density_light / p-values:"/>
    <item val="mouthfeel_body_density_heavy / p-values:"/>
    <item val="taste_sour / p-values:"/>
    <item val="taste_bitter / p-values:"/>
    <item val="taste_sweet / p-values:"/>
    <item val="aroma_cereal / p-values:"/>
    <item val="aroma_cereal_malt / p-values:"/>
    <item val="aroma_earthy / p-values:"/>
    <item val="aroma_floral / p-values:"/>
    <item val="aroma_fruity / p-values:"/>
    <item val="aroma_fruity_citrus / p-values:"/>
    <item val="aroma_grassy / p-values:"/>
    <item val="aroma_nutty / p-values:"/>
    <item val="aroma_woody / p-values: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9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image" Target="../media/image3.png"/><Relationship Id="rId7" Type="http://schemas.openxmlformats.org/officeDocument/2006/relationships/chart" Target="../charts/chart1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image" Target="../media/image3.png"/><Relationship Id="rId7" Type="http://schemas.openxmlformats.org/officeDocument/2006/relationships/chart" Target="../charts/chart1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5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907413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RefEditT,RefEdit0,!$D:$V,True,000000000300_General,True,,False,,553,19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RefEdit_P,RefEdit0,!$B:$B,True,000000010800_General,True,Products:,False,,553,1
CheckBoxIdealP,CheckBox,False,True,000000060800_General,True,Ideal product,False,,,
TextBoxIdealName,TextBox,Ideal,True,000001060800_General,True,,False,,,
RefEdit_J,RefEdit0,!$A:$A,True,000000030800_General,True,Assessors:,False,,553,1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90741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90741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90741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907413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90741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90741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282</xdr:row>
      <xdr:rowOff>0</xdr:rowOff>
    </xdr:from>
    <xdr:to>
      <xdr:col>6</xdr:col>
      <xdr:colOff>0</xdr:colOff>
      <xdr:row>298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300</xdr:row>
      <xdr:rowOff>0</xdr:rowOff>
    </xdr:from>
    <xdr:to>
      <xdr:col>6</xdr:col>
      <xdr:colOff>0</xdr:colOff>
      <xdr:row>316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352</xdr:row>
      <xdr:rowOff>0</xdr:rowOff>
    </xdr:from>
    <xdr:to>
      <xdr:col>6</xdr:col>
      <xdr:colOff>0</xdr:colOff>
      <xdr:row>368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394</xdr:row>
      <xdr:rowOff>0</xdr:rowOff>
    </xdr:from>
    <xdr:to>
      <xdr:col>6</xdr:col>
      <xdr:colOff>0</xdr:colOff>
      <xdr:row>410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097" name="DD57785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312440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RefEditT,RefEdit0,'Sheet3'!$D:$G,True,000000000300_General,True,,False,,553,4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RefEdit_P,RefEdit0,'Sheet3'!$B:$B,True,000000010800_General,True,Products:,False,,553,1
CheckBoxIdealP,CheckBox,False,True,000000060800_General,True,Ideal product,False,,,
TextBoxIdealName,TextBox,Ideal,True,000001060800_General,True,,False,,,
RefEdit_J,RefEdit0,'Sheet3'!$A:$A,True,000000030800_General,True,Assessors:,False,,553,1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31244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31244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31244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312440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31244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31244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102</xdr:row>
      <xdr:rowOff>0</xdr:rowOff>
    </xdr:from>
    <xdr:to>
      <xdr:col>6</xdr:col>
      <xdr:colOff>0</xdr:colOff>
      <xdr:row>118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120</xdr:row>
      <xdr:rowOff>0</xdr:rowOff>
    </xdr:from>
    <xdr:to>
      <xdr:col>6</xdr:col>
      <xdr:colOff>0</xdr:colOff>
      <xdr:row>136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6</xdr:col>
      <xdr:colOff>0</xdr:colOff>
      <xdr:row>173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184</xdr:row>
      <xdr:rowOff>0</xdr:rowOff>
    </xdr:from>
    <xdr:to>
      <xdr:col>6</xdr:col>
      <xdr:colOff>0</xdr:colOff>
      <xdr:row>200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7169" name="DD58274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542712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RefEditT,RefEdit0,'Sheet4'!$D:$X,True,000000000300_General,True,,False,,553,4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RefEdit_P,RefEdit0,'Sheet4'!$B:$B,True,000000010800_General,True,Products:,False,,553,1
CheckBoxIdealP,CheckBox,False,True,000000060800_General,True,Ideal product,False,,,
TextBoxIdealName,TextBox,Ideal,True,000001060800_General,True,,False,,,
RefEdit_J,RefEdit0,'Sheet4'!$A:$A,True,000000030800_General,True,Assessors:,False,,553,1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54271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54271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54271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542712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54271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54271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312</xdr:row>
      <xdr:rowOff>0</xdr:rowOff>
    </xdr:from>
    <xdr:to>
      <xdr:col>6</xdr:col>
      <xdr:colOff>0</xdr:colOff>
      <xdr:row>328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330</xdr:row>
      <xdr:rowOff>0</xdr:rowOff>
    </xdr:from>
    <xdr:to>
      <xdr:col>6</xdr:col>
      <xdr:colOff>0</xdr:colOff>
      <xdr:row>346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41" name="DD225179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465845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RefEditT,RefEdit0,'Sheet5'!$D:$S,True,000000000300_General,True,,False,,553,16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RefEdit_P,RefEdit0,'Sheet4'!$B:$B,True,000000010800_General,True,Products:,False,,553,1
CheckBoxIdealP,CheckBox,False,True,000000060800_General,True,Ideal product,False,,,
TextBoxIdealName,TextBox,Ideal,True,000001060800_General,True,,False,,,
RefEdit_J,RefEdit0,'Sheet4'!$A:$A,True,000000030800_General,True,Assessors:,False,,553,1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465845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46584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465845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465845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465845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465845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246</xdr:row>
      <xdr:rowOff>0</xdr:rowOff>
    </xdr:from>
    <xdr:to>
      <xdr:col>6</xdr:col>
      <xdr:colOff>0</xdr:colOff>
      <xdr:row>262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264</xdr:row>
      <xdr:rowOff>0</xdr:rowOff>
    </xdr:from>
    <xdr:to>
      <xdr:col>6</xdr:col>
      <xdr:colOff>0</xdr:colOff>
      <xdr:row>280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313</xdr:row>
      <xdr:rowOff>0</xdr:rowOff>
    </xdr:from>
    <xdr:to>
      <xdr:col>6</xdr:col>
      <xdr:colOff>0</xdr:colOff>
      <xdr:row>329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352</xdr:row>
      <xdr:rowOff>0</xdr:rowOff>
    </xdr:from>
    <xdr:to>
      <xdr:col>6</xdr:col>
      <xdr:colOff>0</xdr:colOff>
      <xdr:row>368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4577" name="DD901884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577767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RefEditT,RefEdit0,'Sheet5'!$D:$S,True,000000000300_General,True,,False,,553,16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ComboBoxType,ComboBox,1,True,100000020100_Options(1),True,,False,,,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CheckBox_MultiTablePair,CheckBox,True,True,100000060100_Options(1),True,p-values by attribute,False,,,
CheckBoxCATAValid,CheckBox,False,True,100000000200_Options(1),True,CATA data validation,False,,,
RefEdit_P,RefEdit0,'Sheet4'!$B:$B,True,000000010800_General,True,Products:,False,,553,1
CheckBoxIdealP,CheckBox,False,True,000000060800_General,True,Ideal product,False,,,
TextBoxIdealName,TextBox,Ideal,True,000001060800_General,True,,False,,,
RefEdit_J,RefEdit0,'Sheet4'!$A:$A,True,000000030800_General,True,Assessors:,False,,553,1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577767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577767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577767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577767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577767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57776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246</xdr:row>
      <xdr:rowOff>0</xdr:rowOff>
    </xdr:from>
    <xdr:to>
      <xdr:col>6</xdr:col>
      <xdr:colOff>0</xdr:colOff>
      <xdr:row>262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264</xdr:row>
      <xdr:rowOff>0</xdr:rowOff>
    </xdr:from>
    <xdr:to>
      <xdr:col>6</xdr:col>
      <xdr:colOff>0</xdr:colOff>
      <xdr:row>280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313</xdr:row>
      <xdr:rowOff>0</xdr:rowOff>
    </xdr:from>
    <xdr:to>
      <xdr:col>6</xdr:col>
      <xdr:colOff>0</xdr:colOff>
      <xdr:row>329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352</xdr:row>
      <xdr:rowOff>0</xdr:rowOff>
    </xdr:from>
    <xdr:to>
      <xdr:col>6</xdr:col>
      <xdr:colOff>0</xdr:colOff>
      <xdr:row>368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6865" name="DD9639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C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AA840-7BDA-8A47-BD5A-C445ECE808FB}">
  <sheetPr codeName="Sheet6"/>
  <dimension ref="A1:EG140"/>
  <sheetViews>
    <sheetView workbookViewId="0">
      <selection activeCell="A13" sqref="A13"/>
    </sheetView>
  </sheetViews>
  <sheetFormatPr baseColWidth="10" defaultRowHeight="16" x14ac:dyDescent="0.2"/>
  <cols>
    <col min="1" max="1" width="44.1640625" bestFit="1" customWidth="1"/>
  </cols>
  <sheetData>
    <row r="1" spans="1:137" x14ac:dyDescent="0.2">
      <c r="A1" t="s">
        <v>443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56</v>
      </c>
      <c r="BD1" t="s">
        <v>57</v>
      </c>
      <c r="BE1" t="s">
        <v>58</v>
      </c>
      <c r="BF1" t="s">
        <v>59</v>
      </c>
      <c r="BG1" t="s">
        <v>60</v>
      </c>
      <c r="BH1" t="s">
        <v>61</v>
      </c>
      <c r="BI1" t="s">
        <v>62</v>
      </c>
      <c r="BJ1" t="s">
        <v>63</v>
      </c>
      <c r="BK1" t="s">
        <v>64</v>
      </c>
      <c r="BL1" t="s">
        <v>65</v>
      </c>
      <c r="BM1" t="s">
        <v>66</v>
      </c>
      <c r="BN1" t="s">
        <v>67</v>
      </c>
      <c r="BO1" t="s">
        <v>68</v>
      </c>
      <c r="BP1" t="s">
        <v>69</v>
      </c>
      <c r="BQ1" t="s">
        <v>70</v>
      </c>
      <c r="BR1" t="s">
        <v>71</v>
      </c>
      <c r="BS1" t="s">
        <v>72</v>
      </c>
      <c r="BT1" t="s">
        <v>73</v>
      </c>
      <c r="BU1" t="s">
        <v>74</v>
      </c>
      <c r="BV1" t="s">
        <v>75</v>
      </c>
      <c r="BW1" t="s">
        <v>76</v>
      </c>
      <c r="BX1" t="s">
        <v>77</v>
      </c>
      <c r="BY1" t="s">
        <v>78</v>
      </c>
      <c r="BZ1" t="s">
        <v>79</v>
      </c>
      <c r="CA1" t="s">
        <v>80</v>
      </c>
      <c r="CB1" t="s">
        <v>81</v>
      </c>
      <c r="CC1" t="s">
        <v>82</v>
      </c>
      <c r="CD1" t="s">
        <v>83</v>
      </c>
      <c r="CE1" t="s">
        <v>84</v>
      </c>
      <c r="CF1" t="s">
        <v>85</v>
      </c>
      <c r="CG1" t="s">
        <v>86</v>
      </c>
      <c r="CH1" t="s">
        <v>87</v>
      </c>
      <c r="CI1" t="s">
        <v>88</v>
      </c>
      <c r="CJ1" t="s">
        <v>89</v>
      </c>
      <c r="CK1" t="s">
        <v>90</v>
      </c>
      <c r="CL1" t="s">
        <v>91</v>
      </c>
      <c r="CM1" t="s">
        <v>92</v>
      </c>
      <c r="CN1" t="s">
        <v>93</v>
      </c>
      <c r="CO1" t="s">
        <v>94</v>
      </c>
      <c r="CP1" t="s">
        <v>95</v>
      </c>
      <c r="CQ1" t="s">
        <v>96</v>
      </c>
      <c r="CR1" t="s">
        <v>97</v>
      </c>
      <c r="CS1" t="s">
        <v>98</v>
      </c>
      <c r="CT1" t="s">
        <v>99</v>
      </c>
      <c r="CU1" t="s">
        <v>100</v>
      </c>
      <c r="CV1" t="s">
        <v>101</v>
      </c>
      <c r="CW1" t="s">
        <v>102</v>
      </c>
      <c r="CX1" t="s">
        <v>103</v>
      </c>
      <c r="CY1" t="s">
        <v>104</v>
      </c>
      <c r="CZ1" t="s">
        <v>105</v>
      </c>
      <c r="DA1" t="s">
        <v>106</v>
      </c>
      <c r="DB1" t="s">
        <v>107</v>
      </c>
      <c r="DC1" t="s">
        <v>108</v>
      </c>
      <c r="DD1" t="s">
        <v>109</v>
      </c>
      <c r="DE1" t="s">
        <v>110</v>
      </c>
      <c r="DF1" t="s">
        <v>111</v>
      </c>
      <c r="DG1" t="s">
        <v>112</v>
      </c>
      <c r="DH1" t="s">
        <v>113</v>
      </c>
      <c r="DI1" t="s">
        <v>114</v>
      </c>
      <c r="DJ1" t="s">
        <v>115</v>
      </c>
      <c r="DK1" t="s">
        <v>116</v>
      </c>
      <c r="DL1" t="s">
        <v>117</v>
      </c>
      <c r="DM1" t="s">
        <v>118</v>
      </c>
      <c r="DN1" t="s">
        <v>119</v>
      </c>
      <c r="DO1" t="s">
        <v>120</v>
      </c>
      <c r="DP1" t="s">
        <v>121</v>
      </c>
      <c r="DQ1" t="s">
        <v>122</v>
      </c>
      <c r="DR1" t="s">
        <v>123</v>
      </c>
      <c r="DS1" t="s">
        <v>124</v>
      </c>
      <c r="DT1" t="s">
        <v>125</v>
      </c>
      <c r="DU1" t="s">
        <v>126</v>
      </c>
      <c r="DV1" t="s">
        <v>127</v>
      </c>
      <c r="DW1" t="s">
        <v>128</v>
      </c>
      <c r="DX1" t="s">
        <v>129</v>
      </c>
      <c r="DY1" t="s">
        <v>130</v>
      </c>
      <c r="DZ1" t="s">
        <v>131</v>
      </c>
      <c r="EA1" t="s">
        <v>132</v>
      </c>
      <c r="EB1" t="s">
        <v>133</v>
      </c>
      <c r="EC1" t="s">
        <v>134</v>
      </c>
      <c r="ED1" t="s">
        <v>135</v>
      </c>
      <c r="EE1" t="s">
        <v>136</v>
      </c>
      <c r="EF1" t="s">
        <v>137</v>
      </c>
      <c r="EG1" t="s">
        <v>138</v>
      </c>
    </row>
    <row r="2" spans="1:137" x14ac:dyDescent="0.2">
      <c r="A2" t="s">
        <v>611</v>
      </c>
      <c r="B2" s="41">
        <v>1</v>
      </c>
      <c r="C2" s="41">
        <v>1</v>
      </c>
      <c r="D2" s="41">
        <v>1</v>
      </c>
      <c r="E2" s="41">
        <v>1</v>
      </c>
      <c r="F2" s="41">
        <v>1</v>
      </c>
      <c r="G2" s="41">
        <v>1</v>
      </c>
      <c r="H2" s="41">
        <v>1</v>
      </c>
      <c r="I2" s="41">
        <v>1</v>
      </c>
      <c r="J2" s="41">
        <v>1</v>
      </c>
      <c r="K2" s="41">
        <v>1</v>
      </c>
      <c r="L2" s="41">
        <v>1</v>
      </c>
      <c r="M2" s="41">
        <v>1</v>
      </c>
      <c r="N2" s="41">
        <v>1</v>
      </c>
      <c r="O2" s="41">
        <v>1</v>
      </c>
      <c r="P2" s="41">
        <v>1</v>
      </c>
      <c r="Q2" s="41">
        <v>1</v>
      </c>
      <c r="R2" s="41">
        <v>1</v>
      </c>
      <c r="S2" s="41">
        <v>1</v>
      </c>
      <c r="T2" s="41">
        <v>1</v>
      </c>
      <c r="U2" s="41">
        <v>1</v>
      </c>
      <c r="V2" s="41">
        <v>1</v>
      </c>
      <c r="W2" s="41">
        <v>1</v>
      </c>
      <c r="X2" s="41">
        <v>1</v>
      </c>
      <c r="Y2" s="41">
        <v>1</v>
      </c>
      <c r="Z2" s="41">
        <v>1</v>
      </c>
      <c r="AA2" s="41">
        <v>1</v>
      </c>
      <c r="AB2" s="41">
        <v>1</v>
      </c>
      <c r="AC2" s="41">
        <v>1</v>
      </c>
      <c r="AD2" s="41">
        <v>1</v>
      </c>
      <c r="AE2" s="41">
        <v>1</v>
      </c>
      <c r="AF2" s="41">
        <v>1</v>
      </c>
      <c r="AG2" s="41">
        <v>1</v>
      </c>
      <c r="AH2" s="41">
        <v>0</v>
      </c>
      <c r="AI2" s="41">
        <v>0</v>
      </c>
      <c r="AJ2" s="41">
        <v>1</v>
      </c>
      <c r="AK2" s="41">
        <v>0</v>
      </c>
      <c r="AL2" s="41">
        <v>1</v>
      </c>
      <c r="AM2" s="41">
        <v>1</v>
      </c>
      <c r="AN2" s="41">
        <v>1</v>
      </c>
      <c r="AO2" s="41">
        <v>1</v>
      </c>
      <c r="AP2" s="41">
        <v>0</v>
      </c>
      <c r="AQ2" s="41">
        <v>1</v>
      </c>
      <c r="AR2" s="41">
        <v>0</v>
      </c>
      <c r="AS2" s="41">
        <v>0</v>
      </c>
      <c r="AT2" s="41">
        <v>1</v>
      </c>
      <c r="AU2" s="41">
        <v>1</v>
      </c>
      <c r="AV2" s="41">
        <v>0</v>
      </c>
      <c r="AW2" s="41">
        <v>1</v>
      </c>
      <c r="AX2" s="41">
        <v>1</v>
      </c>
      <c r="AY2" s="41">
        <v>0</v>
      </c>
      <c r="AZ2" s="41">
        <v>0</v>
      </c>
      <c r="BA2" s="41">
        <v>1</v>
      </c>
      <c r="BB2" s="41">
        <v>0</v>
      </c>
      <c r="BC2" s="41">
        <v>0</v>
      </c>
      <c r="BD2" s="41">
        <v>0</v>
      </c>
      <c r="BE2" s="41">
        <v>1</v>
      </c>
      <c r="BF2" s="41">
        <v>1</v>
      </c>
      <c r="BG2" s="41">
        <v>1</v>
      </c>
      <c r="BH2" s="41">
        <v>1</v>
      </c>
      <c r="BI2" s="41">
        <v>0</v>
      </c>
      <c r="BJ2" s="41">
        <v>1</v>
      </c>
      <c r="BK2" s="41">
        <v>1</v>
      </c>
      <c r="BL2" s="41">
        <v>1</v>
      </c>
      <c r="BM2" s="41">
        <v>1</v>
      </c>
      <c r="BN2" s="41">
        <v>1</v>
      </c>
      <c r="BO2" s="41">
        <v>0</v>
      </c>
      <c r="BP2" s="41">
        <v>0</v>
      </c>
      <c r="BQ2" s="41">
        <v>1</v>
      </c>
      <c r="BR2" s="41">
        <v>0</v>
      </c>
      <c r="BS2" s="41">
        <v>1</v>
      </c>
      <c r="BT2" s="41">
        <v>1</v>
      </c>
      <c r="BU2" s="41">
        <v>0</v>
      </c>
      <c r="BV2" s="41">
        <v>1</v>
      </c>
      <c r="BW2" s="41">
        <v>1</v>
      </c>
      <c r="BX2" s="41">
        <v>0</v>
      </c>
      <c r="BY2" s="41">
        <v>1</v>
      </c>
      <c r="BZ2" s="41">
        <v>0</v>
      </c>
      <c r="CA2" s="41">
        <v>1</v>
      </c>
      <c r="CB2" s="41">
        <v>0</v>
      </c>
      <c r="CC2" s="41">
        <v>1</v>
      </c>
      <c r="CD2" s="41">
        <v>1</v>
      </c>
      <c r="CE2" s="41">
        <v>1</v>
      </c>
      <c r="CF2" s="41">
        <v>0</v>
      </c>
      <c r="CG2" s="41">
        <v>0</v>
      </c>
      <c r="CH2" s="41">
        <v>1</v>
      </c>
      <c r="CI2" s="41">
        <v>1</v>
      </c>
      <c r="CJ2" s="41">
        <v>0</v>
      </c>
      <c r="CK2" s="41">
        <v>0</v>
      </c>
      <c r="CL2" s="41">
        <v>0</v>
      </c>
      <c r="CM2" s="41">
        <v>0</v>
      </c>
      <c r="CN2" s="41">
        <v>0</v>
      </c>
      <c r="CO2" s="41">
        <v>1</v>
      </c>
      <c r="CP2" s="41">
        <v>1</v>
      </c>
      <c r="CQ2" s="41">
        <v>0</v>
      </c>
      <c r="CR2" s="41">
        <v>1</v>
      </c>
      <c r="CS2" s="41">
        <v>1</v>
      </c>
      <c r="CT2" s="41">
        <v>1</v>
      </c>
      <c r="CU2" s="41">
        <v>0</v>
      </c>
      <c r="CV2" s="41">
        <v>0</v>
      </c>
      <c r="CW2" s="41">
        <v>0</v>
      </c>
      <c r="CX2" s="41">
        <v>1</v>
      </c>
      <c r="CY2" s="41">
        <v>1</v>
      </c>
      <c r="CZ2" s="41">
        <v>1</v>
      </c>
      <c r="DA2" s="41">
        <v>0</v>
      </c>
      <c r="DB2" s="41">
        <v>0</v>
      </c>
      <c r="DC2" s="41">
        <v>1</v>
      </c>
      <c r="DD2" s="41">
        <v>1</v>
      </c>
      <c r="DE2" s="41">
        <v>1</v>
      </c>
      <c r="DF2" s="41">
        <v>0</v>
      </c>
      <c r="DG2" s="41">
        <v>1</v>
      </c>
      <c r="DH2" s="41">
        <v>1</v>
      </c>
      <c r="DI2" s="41">
        <v>1</v>
      </c>
      <c r="DJ2" s="41">
        <v>1</v>
      </c>
      <c r="DK2" s="41">
        <v>1</v>
      </c>
      <c r="DL2" s="41">
        <v>0</v>
      </c>
      <c r="DM2" s="41">
        <v>0</v>
      </c>
      <c r="DN2" s="41">
        <v>1</v>
      </c>
      <c r="DO2" s="41">
        <v>0</v>
      </c>
      <c r="DP2" s="41">
        <v>0</v>
      </c>
      <c r="DQ2" s="41">
        <v>1</v>
      </c>
      <c r="DR2" s="41">
        <v>0</v>
      </c>
      <c r="DS2" s="41">
        <v>1</v>
      </c>
      <c r="DT2" s="41">
        <v>1</v>
      </c>
      <c r="DU2" s="41">
        <v>1</v>
      </c>
      <c r="DV2" s="41">
        <v>1</v>
      </c>
      <c r="DW2" s="41">
        <v>1</v>
      </c>
      <c r="DX2" s="41">
        <v>1</v>
      </c>
      <c r="DY2" s="41">
        <v>1</v>
      </c>
      <c r="DZ2" s="41">
        <v>1</v>
      </c>
      <c r="EA2" s="41">
        <v>1</v>
      </c>
      <c r="EB2" s="41">
        <v>0</v>
      </c>
      <c r="EC2" s="41">
        <v>1</v>
      </c>
      <c r="ED2" s="41">
        <v>0</v>
      </c>
      <c r="EE2" s="41">
        <v>0</v>
      </c>
      <c r="EF2" s="41">
        <v>1</v>
      </c>
      <c r="EG2" s="41">
        <v>1</v>
      </c>
    </row>
    <row r="4" spans="1:137" x14ac:dyDescent="0.2">
      <c r="A4" t="s">
        <v>443</v>
      </c>
      <c r="B4" t="s">
        <v>611</v>
      </c>
      <c r="D4" t="s">
        <v>612</v>
      </c>
    </row>
    <row r="5" spans="1:137" x14ac:dyDescent="0.2">
      <c r="A5" t="s">
        <v>35</v>
      </c>
      <c r="B5" s="41">
        <v>0</v>
      </c>
    </row>
    <row r="6" spans="1:137" x14ac:dyDescent="0.2">
      <c r="A6" t="s">
        <v>36</v>
      </c>
      <c r="B6" s="41">
        <v>0</v>
      </c>
    </row>
    <row r="7" spans="1:137" x14ac:dyDescent="0.2">
      <c r="A7" t="s">
        <v>38</v>
      </c>
      <c r="B7" s="41">
        <v>0</v>
      </c>
    </row>
    <row r="8" spans="1:137" x14ac:dyDescent="0.2">
      <c r="A8" t="s">
        <v>43</v>
      </c>
      <c r="B8" s="41">
        <v>0</v>
      </c>
    </row>
    <row r="9" spans="1:137" x14ac:dyDescent="0.2">
      <c r="A9" t="s">
        <v>45</v>
      </c>
      <c r="B9" s="41">
        <v>0</v>
      </c>
    </row>
    <row r="10" spans="1:137" x14ac:dyDescent="0.2">
      <c r="A10" t="s">
        <v>46</v>
      </c>
      <c r="B10" s="41">
        <v>0</v>
      </c>
    </row>
    <row r="11" spans="1:137" x14ac:dyDescent="0.2">
      <c r="A11" t="s">
        <v>49</v>
      </c>
      <c r="B11" s="41">
        <v>0</v>
      </c>
    </row>
    <row r="12" spans="1:137" x14ac:dyDescent="0.2">
      <c r="A12" t="s">
        <v>52</v>
      </c>
      <c r="B12" s="41">
        <v>0</v>
      </c>
    </row>
    <row r="13" spans="1:137" x14ac:dyDescent="0.2">
      <c r="A13" t="s">
        <v>53</v>
      </c>
      <c r="B13" s="41">
        <v>0</v>
      </c>
    </row>
    <row r="14" spans="1:137" x14ac:dyDescent="0.2">
      <c r="A14" t="s">
        <v>55</v>
      </c>
      <c r="B14" s="41">
        <v>0</v>
      </c>
    </row>
    <row r="15" spans="1:137" x14ac:dyDescent="0.2">
      <c r="A15" t="s">
        <v>56</v>
      </c>
      <c r="B15" s="41">
        <v>0</v>
      </c>
    </row>
    <row r="16" spans="1:137" x14ac:dyDescent="0.2">
      <c r="A16" t="s">
        <v>57</v>
      </c>
      <c r="B16" s="41">
        <v>0</v>
      </c>
    </row>
    <row r="17" spans="1:2" x14ac:dyDescent="0.2">
      <c r="A17" t="s">
        <v>62</v>
      </c>
      <c r="B17" s="41">
        <v>0</v>
      </c>
    </row>
    <row r="18" spans="1:2" x14ac:dyDescent="0.2">
      <c r="A18" t="s">
        <v>68</v>
      </c>
      <c r="B18" s="41">
        <v>0</v>
      </c>
    </row>
    <row r="19" spans="1:2" x14ac:dyDescent="0.2">
      <c r="A19" t="s">
        <v>69</v>
      </c>
      <c r="B19" s="41">
        <v>0</v>
      </c>
    </row>
    <row r="20" spans="1:2" x14ac:dyDescent="0.2">
      <c r="A20" t="s">
        <v>71</v>
      </c>
      <c r="B20" s="41">
        <v>0</v>
      </c>
    </row>
    <row r="21" spans="1:2" x14ac:dyDescent="0.2">
      <c r="A21" t="s">
        <v>74</v>
      </c>
      <c r="B21" s="41">
        <v>0</v>
      </c>
    </row>
    <row r="22" spans="1:2" x14ac:dyDescent="0.2">
      <c r="A22" t="s">
        <v>77</v>
      </c>
      <c r="B22" s="41">
        <v>0</v>
      </c>
    </row>
    <row r="23" spans="1:2" x14ac:dyDescent="0.2">
      <c r="A23" t="s">
        <v>79</v>
      </c>
      <c r="B23" s="41">
        <v>0</v>
      </c>
    </row>
    <row r="24" spans="1:2" x14ac:dyDescent="0.2">
      <c r="A24" t="s">
        <v>81</v>
      </c>
      <c r="B24" s="41">
        <v>0</v>
      </c>
    </row>
    <row r="25" spans="1:2" x14ac:dyDescent="0.2">
      <c r="A25" t="s">
        <v>85</v>
      </c>
      <c r="B25" s="41">
        <v>0</v>
      </c>
    </row>
    <row r="26" spans="1:2" x14ac:dyDescent="0.2">
      <c r="A26" t="s">
        <v>86</v>
      </c>
      <c r="B26" s="41">
        <v>0</v>
      </c>
    </row>
    <row r="27" spans="1:2" x14ac:dyDescent="0.2">
      <c r="A27" t="s">
        <v>89</v>
      </c>
      <c r="B27" s="41">
        <v>0</v>
      </c>
    </row>
    <row r="28" spans="1:2" x14ac:dyDescent="0.2">
      <c r="A28" t="s">
        <v>90</v>
      </c>
      <c r="B28" s="41">
        <v>0</v>
      </c>
    </row>
    <row r="29" spans="1:2" x14ac:dyDescent="0.2">
      <c r="A29" t="s">
        <v>91</v>
      </c>
      <c r="B29" s="41">
        <v>0</v>
      </c>
    </row>
    <row r="30" spans="1:2" x14ac:dyDescent="0.2">
      <c r="A30" t="s">
        <v>92</v>
      </c>
      <c r="B30" s="41">
        <v>0</v>
      </c>
    </row>
    <row r="31" spans="1:2" x14ac:dyDescent="0.2">
      <c r="A31" t="s">
        <v>93</v>
      </c>
      <c r="B31" s="41">
        <v>0</v>
      </c>
    </row>
    <row r="32" spans="1:2" x14ac:dyDescent="0.2">
      <c r="A32" t="s">
        <v>96</v>
      </c>
      <c r="B32" s="41">
        <v>0</v>
      </c>
    </row>
    <row r="33" spans="1:2" x14ac:dyDescent="0.2">
      <c r="A33" t="s">
        <v>100</v>
      </c>
      <c r="B33" s="41">
        <v>0</v>
      </c>
    </row>
    <row r="34" spans="1:2" x14ac:dyDescent="0.2">
      <c r="A34" t="s">
        <v>101</v>
      </c>
      <c r="B34" s="41">
        <v>0</v>
      </c>
    </row>
    <row r="35" spans="1:2" x14ac:dyDescent="0.2">
      <c r="A35" t="s">
        <v>102</v>
      </c>
      <c r="B35" s="41">
        <v>0</v>
      </c>
    </row>
    <row r="36" spans="1:2" x14ac:dyDescent="0.2">
      <c r="A36" t="s">
        <v>106</v>
      </c>
      <c r="B36" s="41">
        <v>0</v>
      </c>
    </row>
    <row r="37" spans="1:2" x14ac:dyDescent="0.2">
      <c r="A37" t="s">
        <v>107</v>
      </c>
      <c r="B37" s="41">
        <v>0</v>
      </c>
    </row>
    <row r="38" spans="1:2" x14ac:dyDescent="0.2">
      <c r="A38" t="s">
        <v>111</v>
      </c>
      <c r="B38" s="41">
        <v>0</v>
      </c>
    </row>
    <row r="39" spans="1:2" x14ac:dyDescent="0.2">
      <c r="A39" t="s">
        <v>117</v>
      </c>
      <c r="B39" s="41">
        <v>0</v>
      </c>
    </row>
    <row r="40" spans="1:2" x14ac:dyDescent="0.2">
      <c r="A40" t="s">
        <v>118</v>
      </c>
      <c r="B40" s="41">
        <v>0</v>
      </c>
    </row>
    <row r="41" spans="1:2" x14ac:dyDescent="0.2">
      <c r="A41" t="s">
        <v>120</v>
      </c>
      <c r="B41" s="41">
        <v>0</v>
      </c>
    </row>
    <row r="42" spans="1:2" x14ac:dyDescent="0.2">
      <c r="A42" t="s">
        <v>121</v>
      </c>
      <c r="B42" s="41">
        <v>0</v>
      </c>
    </row>
    <row r="43" spans="1:2" x14ac:dyDescent="0.2">
      <c r="A43" t="s">
        <v>123</v>
      </c>
      <c r="B43" s="41">
        <v>0</v>
      </c>
    </row>
    <row r="44" spans="1:2" x14ac:dyDescent="0.2">
      <c r="A44" t="s">
        <v>133</v>
      </c>
      <c r="B44" s="41">
        <v>0</v>
      </c>
    </row>
    <row r="45" spans="1:2" x14ac:dyDescent="0.2">
      <c r="A45" t="s">
        <v>135</v>
      </c>
      <c r="B45" s="41">
        <v>0</v>
      </c>
    </row>
    <row r="46" spans="1:2" x14ac:dyDescent="0.2">
      <c r="A46" t="s">
        <v>136</v>
      </c>
      <c r="B46" s="41">
        <v>0</v>
      </c>
    </row>
    <row r="47" spans="1:2" x14ac:dyDescent="0.2">
      <c r="A47" t="s">
        <v>3</v>
      </c>
      <c r="B47" s="41">
        <v>1</v>
      </c>
    </row>
    <row r="48" spans="1:2" x14ac:dyDescent="0.2">
      <c r="A48" t="s">
        <v>4</v>
      </c>
      <c r="B48" s="41">
        <v>1</v>
      </c>
    </row>
    <row r="49" spans="1:2" x14ac:dyDescent="0.2">
      <c r="A49" t="s">
        <v>5</v>
      </c>
      <c r="B49" s="41">
        <v>1</v>
      </c>
    </row>
    <row r="50" spans="1:2" x14ac:dyDescent="0.2">
      <c r="A50" t="s">
        <v>6</v>
      </c>
      <c r="B50" s="41">
        <v>1</v>
      </c>
    </row>
    <row r="51" spans="1:2" x14ac:dyDescent="0.2">
      <c r="A51" t="s">
        <v>7</v>
      </c>
      <c r="B51" s="41">
        <v>1</v>
      </c>
    </row>
    <row r="52" spans="1:2" x14ac:dyDescent="0.2">
      <c r="A52" t="s">
        <v>8</v>
      </c>
      <c r="B52" s="41">
        <v>1</v>
      </c>
    </row>
    <row r="53" spans="1:2" x14ac:dyDescent="0.2">
      <c r="A53" t="s">
        <v>9</v>
      </c>
      <c r="B53" s="41">
        <v>1</v>
      </c>
    </row>
    <row r="54" spans="1:2" x14ac:dyDescent="0.2">
      <c r="A54" t="s">
        <v>10</v>
      </c>
      <c r="B54" s="41">
        <v>1</v>
      </c>
    </row>
    <row r="55" spans="1:2" x14ac:dyDescent="0.2">
      <c r="A55" t="s">
        <v>11</v>
      </c>
      <c r="B55" s="41">
        <v>1</v>
      </c>
    </row>
    <row r="56" spans="1:2" x14ac:dyDescent="0.2">
      <c r="A56" t="s">
        <v>12</v>
      </c>
      <c r="B56" s="41">
        <v>1</v>
      </c>
    </row>
    <row r="57" spans="1:2" x14ac:dyDescent="0.2">
      <c r="A57" t="s">
        <v>13</v>
      </c>
      <c r="B57" s="41">
        <v>1</v>
      </c>
    </row>
    <row r="58" spans="1:2" x14ac:dyDescent="0.2">
      <c r="A58" t="s">
        <v>14</v>
      </c>
      <c r="B58" s="41">
        <v>1</v>
      </c>
    </row>
    <row r="59" spans="1:2" x14ac:dyDescent="0.2">
      <c r="A59" t="s">
        <v>15</v>
      </c>
      <c r="B59" s="41">
        <v>1</v>
      </c>
    </row>
    <row r="60" spans="1:2" x14ac:dyDescent="0.2">
      <c r="A60" t="s">
        <v>16</v>
      </c>
      <c r="B60" s="41">
        <v>1</v>
      </c>
    </row>
    <row r="61" spans="1:2" x14ac:dyDescent="0.2">
      <c r="A61" t="s">
        <v>17</v>
      </c>
      <c r="B61" s="41">
        <v>1</v>
      </c>
    </row>
    <row r="62" spans="1:2" x14ac:dyDescent="0.2">
      <c r="A62" t="s">
        <v>18</v>
      </c>
      <c r="B62" s="41">
        <v>1</v>
      </c>
    </row>
    <row r="63" spans="1:2" x14ac:dyDescent="0.2">
      <c r="A63" t="s">
        <v>19</v>
      </c>
      <c r="B63" s="41">
        <v>1</v>
      </c>
    </row>
    <row r="64" spans="1:2" x14ac:dyDescent="0.2">
      <c r="A64" t="s">
        <v>20</v>
      </c>
      <c r="B64" s="41">
        <v>1</v>
      </c>
    </row>
    <row r="65" spans="1:2" x14ac:dyDescent="0.2">
      <c r="A65" t="s">
        <v>21</v>
      </c>
      <c r="B65" s="41">
        <v>1</v>
      </c>
    </row>
    <row r="66" spans="1:2" x14ac:dyDescent="0.2">
      <c r="A66" t="s">
        <v>22</v>
      </c>
      <c r="B66" s="41">
        <v>1</v>
      </c>
    </row>
    <row r="67" spans="1:2" x14ac:dyDescent="0.2">
      <c r="A67" t="s">
        <v>23</v>
      </c>
      <c r="B67" s="41">
        <v>1</v>
      </c>
    </row>
    <row r="68" spans="1:2" x14ac:dyDescent="0.2">
      <c r="A68" t="s">
        <v>24</v>
      </c>
      <c r="B68" s="41">
        <v>1</v>
      </c>
    </row>
    <row r="69" spans="1:2" x14ac:dyDescent="0.2">
      <c r="A69" t="s">
        <v>25</v>
      </c>
      <c r="B69" s="41">
        <v>1</v>
      </c>
    </row>
    <row r="70" spans="1:2" x14ac:dyDescent="0.2">
      <c r="A70" t="s">
        <v>26</v>
      </c>
      <c r="B70" s="41">
        <v>1</v>
      </c>
    </row>
    <row r="71" spans="1:2" x14ac:dyDescent="0.2">
      <c r="A71" t="s">
        <v>27</v>
      </c>
      <c r="B71" s="41">
        <v>1</v>
      </c>
    </row>
    <row r="72" spans="1:2" x14ac:dyDescent="0.2">
      <c r="A72" t="s">
        <v>28</v>
      </c>
      <c r="B72" s="41">
        <v>1</v>
      </c>
    </row>
    <row r="73" spans="1:2" x14ac:dyDescent="0.2">
      <c r="A73" t="s">
        <v>29</v>
      </c>
      <c r="B73" s="41">
        <v>1</v>
      </c>
    </row>
    <row r="74" spans="1:2" x14ac:dyDescent="0.2">
      <c r="A74" t="s">
        <v>30</v>
      </c>
      <c r="B74" s="41">
        <v>1</v>
      </c>
    </row>
    <row r="75" spans="1:2" x14ac:dyDescent="0.2">
      <c r="A75" t="s">
        <v>31</v>
      </c>
      <c r="B75" s="41">
        <v>1</v>
      </c>
    </row>
    <row r="76" spans="1:2" x14ac:dyDescent="0.2">
      <c r="A76" t="s">
        <v>32</v>
      </c>
      <c r="B76" s="41">
        <v>1</v>
      </c>
    </row>
    <row r="77" spans="1:2" x14ac:dyDescent="0.2">
      <c r="A77" t="s">
        <v>33</v>
      </c>
      <c r="B77" s="41">
        <v>1</v>
      </c>
    </row>
    <row r="78" spans="1:2" x14ac:dyDescent="0.2">
      <c r="A78" t="s">
        <v>34</v>
      </c>
      <c r="B78" s="41">
        <v>1</v>
      </c>
    </row>
    <row r="79" spans="1:2" x14ac:dyDescent="0.2">
      <c r="A79" t="s">
        <v>37</v>
      </c>
      <c r="B79" s="41">
        <v>1</v>
      </c>
    </row>
    <row r="80" spans="1:2" x14ac:dyDescent="0.2">
      <c r="A80" t="s">
        <v>39</v>
      </c>
      <c r="B80" s="41">
        <v>1</v>
      </c>
    </row>
    <row r="81" spans="1:2" x14ac:dyDescent="0.2">
      <c r="A81" t="s">
        <v>40</v>
      </c>
      <c r="B81" s="41">
        <v>1</v>
      </c>
    </row>
    <row r="82" spans="1:2" x14ac:dyDescent="0.2">
      <c r="A82" t="s">
        <v>41</v>
      </c>
      <c r="B82" s="41">
        <v>1</v>
      </c>
    </row>
    <row r="83" spans="1:2" x14ac:dyDescent="0.2">
      <c r="A83" t="s">
        <v>42</v>
      </c>
      <c r="B83" s="41">
        <v>1</v>
      </c>
    </row>
    <row r="84" spans="1:2" x14ac:dyDescent="0.2">
      <c r="A84" t="s">
        <v>44</v>
      </c>
      <c r="B84" s="41">
        <v>1</v>
      </c>
    </row>
    <row r="85" spans="1:2" x14ac:dyDescent="0.2">
      <c r="A85" t="s">
        <v>47</v>
      </c>
      <c r="B85" s="41">
        <v>1</v>
      </c>
    </row>
    <row r="86" spans="1:2" x14ac:dyDescent="0.2">
      <c r="A86" t="s">
        <v>48</v>
      </c>
      <c r="B86" s="41">
        <v>1</v>
      </c>
    </row>
    <row r="87" spans="1:2" x14ac:dyDescent="0.2">
      <c r="A87" t="s">
        <v>50</v>
      </c>
      <c r="B87" s="41">
        <v>1</v>
      </c>
    </row>
    <row r="88" spans="1:2" x14ac:dyDescent="0.2">
      <c r="A88" t="s">
        <v>51</v>
      </c>
      <c r="B88" s="41">
        <v>1</v>
      </c>
    </row>
    <row r="89" spans="1:2" x14ac:dyDescent="0.2">
      <c r="A89" t="s">
        <v>54</v>
      </c>
      <c r="B89" s="41">
        <v>1</v>
      </c>
    </row>
    <row r="90" spans="1:2" x14ac:dyDescent="0.2">
      <c r="A90" t="s">
        <v>58</v>
      </c>
      <c r="B90" s="41">
        <v>1</v>
      </c>
    </row>
    <row r="91" spans="1:2" x14ac:dyDescent="0.2">
      <c r="A91" t="s">
        <v>59</v>
      </c>
      <c r="B91" s="41">
        <v>1</v>
      </c>
    </row>
    <row r="92" spans="1:2" x14ac:dyDescent="0.2">
      <c r="A92" t="s">
        <v>60</v>
      </c>
      <c r="B92" s="41">
        <v>1</v>
      </c>
    </row>
    <row r="93" spans="1:2" x14ac:dyDescent="0.2">
      <c r="A93" t="s">
        <v>61</v>
      </c>
      <c r="B93" s="41">
        <v>1</v>
      </c>
    </row>
    <row r="94" spans="1:2" x14ac:dyDescent="0.2">
      <c r="A94" t="s">
        <v>63</v>
      </c>
      <c r="B94" s="41">
        <v>1</v>
      </c>
    </row>
    <row r="95" spans="1:2" x14ac:dyDescent="0.2">
      <c r="A95" t="s">
        <v>64</v>
      </c>
      <c r="B95" s="41">
        <v>1</v>
      </c>
    </row>
    <row r="96" spans="1:2" x14ac:dyDescent="0.2">
      <c r="A96" t="s">
        <v>65</v>
      </c>
      <c r="B96" s="41">
        <v>1</v>
      </c>
    </row>
    <row r="97" spans="1:2" x14ac:dyDescent="0.2">
      <c r="A97" t="s">
        <v>66</v>
      </c>
      <c r="B97" s="41">
        <v>1</v>
      </c>
    </row>
    <row r="98" spans="1:2" x14ac:dyDescent="0.2">
      <c r="A98" t="s">
        <v>67</v>
      </c>
      <c r="B98" s="41">
        <v>1</v>
      </c>
    </row>
    <row r="99" spans="1:2" x14ac:dyDescent="0.2">
      <c r="A99" t="s">
        <v>70</v>
      </c>
      <c r="B99" s="41">
        <v>1</v>
      </c>
    </row>
    <row r="100" spans="1:2" x14ac:dyDescent="0.2">
      <c r="A100" t="s">
        <v>72</v>
      </c>
      <c r="B100" s="41">
        <v>1</v>
      </c>
    </row>
    <row r="101" spans="1:2" x14ac:dyDescent="0.2">
      <c r="A101" t="s">
        <v>73</v>
      </c>
      <c r="B101" s="41">
        <v>1</v>
      </c>
    </row>
    <row r="102" spans="1:2" x14ac:dyDescent="0.2">
      <c r="A102" t="s">
        <v>75</v>
      </c>
      <c r="B102" s="41">
        <v>1</v>
      </c>
    </row>
    <row r="103" spans="1:2" x14ac:dyDescent="0.2">
      <c r="A103" t="s">
        <v>76</v>
      </c>
      <c r="B103" s="41">
        <v>1</v>
      </c>
    </row>
    <row r="104" spans="1:2" x14ac:dyDescent="0.2">
      <c r="A104" t="s">
        <v>78</v>
      </c>
      <c r="B104" s="41">
        <v>1</v>
      </c>
    </row>
    <row r="105" spans="1:2" x14ac:dyDescent="0.2">
      <c r="A105" t="s">
        <v>80</v>
      </c>
      <c r="B105" s="41">
        <v>1</v>
      </c>
    </row>
    <row r="106" spans="1:2" x14ac:dyDescent="0.2">
      <c r="A106" t="s">
        <v>82</v>
      </c>
      <c r="B106" s="41">
        <v>1</v>
      </c>
    </row>
    <row r="107" spans="1:2" x14ac:dyDescent="0.2">
      <c r="A107" t="s">
        <v>83</v>
      </c>
      <c r="B107" s="41">
        <v>1</v>
      </c>
    </row>
    <row r="108" spans="1:2" x14ac:dyDescent="0.2">
      <c r="A108" t="s">
        <v>84</v>
      </c>
      <c r="B108" s="41">
        <v>1</v>
      </c>
    </row>
    <row r="109" spans="1:2" x14ac:dyDescent="0.2">
      <c r="A109" t="s">
        <v>87</v>
      </c>
      <c r="B109" s="41">
        <v>1</v>
      </c>
    </row>
    <row r="110" spans="1:2" x14ac:dyDescent="0.2">
      <c r="A110" t="s">
        <v>88</v>
      </c>
      <c r="B110" s="41">
        <v>1</v>
      </c>
    </row>
    <row r="111" spans="1:2" x14ac:dyDescent="0.2">
      <c r="A111" t="s">
        <v>94</v>
      </c>
      <c r="B111" s="41">
        <v>1</v>
      </c>
    </row>
    <row r="112" spans="1:2" x14ac:dyDescent="0.2">
      <c r="A112" t="s">
        <v>95</v>
      </c>
      <c r="B112" s="41">
        <v>1</v>
      </c>
    </row>
    <row r="113" spans="1:2" x14ac:dyDescent="0.2">
      <c r="A113" t="s">
        <v>97</v>
      </c>
      <c r="B113" s="41">
        <v>1</v>
      </c>
    </row>
    <row r="114" spans="1:2" x14ac:dyDescent="0.2">
      <c r="A114" t="s">
        <v>98</v>
      </c>
      <c r="B114" s="41">
        <v>1</v>
      </c>
    </row>
    <row r="115" spans="1:2" x14ac:dyDescent="0.2">
      <c r="A115" t="s">
        <v>99</v>
      </c>
      <c r="B115" s="41">
        <v>1</v>
      </c>
    </row>
    <row r="116" spans="1:2" x14ac:dyDescent="0.2">
      <c r="A116" t="s">
        <v>103</v>
      </c>
      <c r="B116" s="41">
        <v>1</v>
      </c>
    </row>
    <row r="117" spans="1:2" x14ac:dyDescent="0.2">
      <c r="A117" t="s">
        <v>104</v>
      </c>
      <c r="B117" s="41">
        <v>1</v>
      </c>
    </row>
    <row r="118" spans="1:2" x14ac:dyDescent="0.2">
      <c r="A118" t="s">
        <v>105</v>
      </c>
      <c r="B118" s="41">
        <v>1</v>
      </c>
    </row>
    <row r="119" spans="1:2" x14ac:dyDescent="0.2">
      <c r="A119" t="s">
        <v>108</v>
      </c>
      <c r="B119" s="41">
        <v>1</v>
      </c>
    </row>
    <row r="120" spans="1:2" x14ac:dyDescent="0.2">
      <c r="A120" t="s">
        <v>109</v>
      </c>
      <c r="B120" s="41">
        <v>1</v>
      </c>
    </row>
    <row r="121" spans="1:2" x14ac:dyDescent="0.2">
      <c r="A121" t="s">
        <v>110</v>
      </c>
      <c r="B121" s="41">
        <v>1</v>
      </c>
    </row>
    <row r="122" spans="1:2" x14ac:dyDescent="0.2">
      <c r="A122" t="s">
        <v>112</v>
      </c>
      <c r="B122" s="41">
        <v>1</v>
      </c>
    </row>
    <row r="123" spans="1:2" x14ac:dyDescent="0.2">
      <c r="A123" t="s">
        <v>113</v>
      </c>
      <c r="B123" s="41">
        <v>1</v>
      </c>
    </row>
    <row r="124" spans="1:2" x14ac:dyDescent="0.2">
      <c r="A124" t="s">
        <v>114</v>
      </c>
      <c r="B124" s="41">
        <v>1</v>
      </c>
    </row>
    <row r="125" spans="1:2" x14ac:dyDescent="0.2">
      <c r="A125" t="s">
        <v>115</v>
      </c>
      <c r="B125" s="41">
        <v>1</v>
      </c>
    </row>
    <row r="126" spans="1:2" x14ac:dyDescent="0.2">
      <c r="A126" t="s">
        <v>116</v>
      </c>
      <c r="B126" s="41">
        <v>1</v>
      </c>
    </row>
    <row r="127" spans="1:2" x14ac:dyDescent="0.2">
      <c r="A127" t="s">
        <v>119</v>
      </c>
      <c r="B127" s="41">
        <v>1</v>
      </c>
    </row>
    <row r="128" spans="1:2" x14ac:dyDescent="0.2">
      <c r="A128" t="s">
        <v>122</v>
      </c>
      <c r="B128" s="41">
        <v>1</v>
      </c>
    </row>
    <row r="129" spans="1:2" x14ac:dyDescent="0.2">
      <c r="A129" t="s">
        <v>124</v>
      </c>
      <c r="B129" s="41">
        <v>1</v>
      </c>
    </row>
    <row r="130" spans="1:2" x14ac:dyDescent="0.2">
      <c r="A130" t="s">
        <v>125</v>
      </c>
      <c r="B130" s="41">
        <v>1</v>
      </c>
    </row>
    <row r="131" spans="1:2" x14ac:dyDescent="0.2">
      <c r="A131" t="s">
        <v>126</v>
      </c>
      <c r="B131" s="41">
        <v>1</v>
      </c>
    </row>
    <row r="132" spans="1:2" x14ac:dyDescent="0.2">
      <c r="A132" t="s">
        <v>127</v>
      </c>
      <c r="B132" s="41">
        <v>1</v>
      </c>
    </row>
    <row r="133" spans="1:2" x14ac:dyDescent="0.2">
      <c r="A133" t="s">
        <v>128</v>
      </c>
      <c r="B133" s="41">
        <v>1</v>
      </c>
    </row>
    <row r="134" spans="1:2" x14ac:dyDescent="0.2">
      <c r="A134" t="s">
        <v>129</v>
      </c>
      <c r="B134" s="41">
        <v>1</v>
      </c>
    </row>
    <row r="135" spans="1:2" x14ac:dyDescent="0.2">
      <c r="A135" t="s">
        <v>130</v>
      </c>
      <c r="B135" s="41">
        <v>1</v>
      </c>
    </row>
    <row r="136" spans="1:2" x14ac:dyDescent="0.2">
      <c r="A136" t="s">
        <v>131</v>
      </c>
      <c r="B136" s="41">
        <v>1</v>
      </c>
    </row>
    <row r="137" spans="1:2" x14ac:dyDescent="0.2">
      <c r="A137" t="s">
        <v>132</v>
      </c>
      <c r="B137" s="41">
        <v>1</v>
      </c>
    </row>
    <row r="138" spans="1:2" x14ac:dyDescent="0.2">
      <c r="A138" t="s">
        <v>134</v>
      </c>
      <c r="B138" s="41">
        <v>1</v>
      </c>
    </row>
    <row r="139" spans="1:2" x14ac:dyDescent="0.2">
      <c r="A139" t="s">
        <v>137</v>
      </c>
      <c r="B139" s="41">
        <v>1</v>
      </c>
    </row>
    <row r="140" spans="1:2" x14ac:dyDescent="0.2">
      <c r="A140" t="s">
        <v>138</v>
      </c>
      <c r="B140" s="41">
        <v>1</v>
      </c>
    </row>
  </sheetData>
  <sortState xmlns:xlrd2="http://schemas.microsoft.com/office/spreadsheetml/2017/richdata2" ref="A5:B140">
    <sortCondition ref="B5:B14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I553"/>
  <sheetViews>
    <sheetView workbookViewId="0"/>
  </sheetViews>
  <sheetFormatPr baseColWidth="10" defaultRowHeight="16" x14ac:dyDescent="0.2"/>
  <sheetData>
    <row r="1" spans="1:13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</row>
    <row r="2" spans="1:139" x14ac:dyDescent="0.2">
      <c r="A2">
        <v>1</v>
      </c>
      <c r="B2" t="s">
        <v>139</v>
      </c>
      <c r="C2" t="s">
        <v>140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</row>
    <row r="3" spans="1:139" x14ac:dyDescent="0.2">
      <c r="A3">
        <v>1</v>
      </c>
      <c r="B3">
        <v>117.17</v>
      </c>
      <c r="C3" t="s">
        <v>141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1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1</v>
      </c>
      <c r="EF3">
        <v>0</v>
      </c>
      <c r="EG3">
        <v>0</v>
      </c>
      <c r="EH3">
        <v>0</v>
      </c>
      <c r="EI3">
        <v>0</v>
      </c>
    </row>
    <row r="4" spans="1:139" x14ac:dyDescent="0.2">
      <c r="A4">
        <v>1</v>
      </c>
      <c r="B4">
        <v>120.14</v>
      </c>
      <c r="C4" t="s">
        <v>142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</row>
    <row r="5" spans="1:139" x14ac:dyDescent="0.2">
      <c r="A5">
        <v>1</v>
      </c>
      <c r="B5">
        <v>120.17</v>
      </c>
      <c r="C5" t="s">
        <v>143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1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</row>
    <row r="6" spans="1:139" x14ac:dyDescent="0.2">
      <c r="A6">
        <v>3</v>
      </c>
      <c r="B6">
        <v>120.17</v>
      </c>
      <c r="C6" t="s">
        <v>144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</row>
    <row r="7" spans="1:139" x14ac:dyDescent="0.2">
      <c r="A7">
        <v>3</v>
      </c>
      <c r="B7">
        <v>120.14</v>
      </c>
      <c r="C7" t="s">
        <v>145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</row>
    <row r="8" spans="1:139" x14ac:dyDescent="0.2">
      <c r="A8">
        <v>3</v>
      </c>
      <c r="B8">
        <v>117.17</v>
      </c>
      <c r="C8" t="s">
        <v>146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0</v>
      </c>
      <c r="W8">
        <v>0</v>
      </c>
      <c r="X8">
        <v>1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</row>
    <row r="9" spans="1:139" x14ac:dyDescent="0.2">
      <c r="A9">
        <v>3</v>
      </c>
      <c r="B9" t="s">
        <v>139</v>
      </c>
      <c r="C9" t="s">
        <v>147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</row>
    <row r="10" spans="1:139" x14ac:dyDescent="0.2">
      <c r="A10">
        <v>4</v>
      </c>
      <c r="B10">
        <v>117.17</v>
      </c>
      <c r="C10" t="s">
        <v>148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1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</row>
    <row r="11" spans="1:139" x14ac:dyDescent="0.2">
      <c r="A11">
        <v>4</v>
      </c>
      <c r="B11">
        <v>120.17</v>
      </c>
      <c r="C11" t="s">
        <v>149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</row>
    <row r="12" spans="1:139" x14ac:dyDescent="0.2">
      <c r="A12">
        <v>4</v>
      </c>
      <c r="B12" t="s">
        <v>139</v>
      </c>
      <c r="C12" t="s">
        <v>150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</row>
    <row r="13" spans="1:139" x14ac:dyDescent="0.2">
      <c r="A13">
        <v>4</v>
      </c>
      <c r="B13">
        <v>120.14</v>
      </c>
      <c r="C13" t="s">
        <v>151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</row>
    <row r="14" spans="1:139" x14ac:dyDescent="0.2">
      <c r="A14">
        <v>5</v>
      </c>
      <c r="B14" t="s">
        <v>139</v>
      </c>
      <c r="C14" t="s">
        <v>152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1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</row>
    <row r="15" spans="1:139" x14ac:dyDescent="0.2">
      <c r="A15">
        <v>5</v>
      </c>
      <c r="B15">
        <v>117.17</v>
      </c>
      <c r="C15" t="s">
        <v>153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1</v>
      </c>
      <c r="EF15">
        <v>0</v>
      </c>
      <c r="EG15">
        <v>0</v>
      </c>
      <c r="EH15">
        <v>0</v>
      </c>
      <c r="EI15">
        <v>0</v>
      </c>
    </row>
    <row r="16" spans="1:139" x14ac:dyDescent="0.2">
      <c r="A16">
        <v>5</v>
      </c>
      <c r="B16">
        <v>120.14</v>
      </c>
      <c r="C16" t="s">
        <v>154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1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1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</row>
    <row r="17" spans="1:139" x14ac:dyDescent="0.2">
      <c r="A17">
        <v>5</v>
      </c>
      <c r="B17">
        <v>120.17</v>
      </c>
      <c r="C17" t="s">
        <v>155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1</v>
      </c>
      <c r="CH17">
        <v>0</v>
      </c>
      <c r="CI17">
        <v>0</v>
      </c>
      <c r="CJ17">
        <v>0</v>
      </c>
      <c r="CK17">
        <v>1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</row>
    <row r="18" spans="1:139" x14ac:dyDescent="0.2">
      <c r="A18">
        <v>6</v>
      </c>
      <c r="B18">
        <v>120.14</v>
      </c>
      <c r="C18" t="s">
        <v>156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</row>
    <row r="19" spans="1:139" x14ac:dyDescent="0.2">
      <c r="A19">
        <v>6</v>
      </c>
      <c r="B19" t="s">
        <v>139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</row>
    <row r="20" spans="1:139" x14ac:dyDescent="0.2">
      <c r="A20">
        <v>6</v>
      </c>
      <c r="B20">
        <v>120.17</v>
      </c>
      <c r="C20" t="s">
        <v>157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1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1</v>
      </c>
      <c r="EA20">
        <v>1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</row>
    <row r="21" spans="1:139" x14ac:dyDescent="0.2">
      <c r="A21">
        <v>6</v>
      </c>
      <c r="B21">
        <v>117.17</v>
      </c>
      <c r="C21" t="s">
        <v>158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</row>
    <row r="22" spans="1:139" x14ac:dyDescent="0.2">
      <c r="A22">
        <v>7</v>
      </c>
      <c r="B22">
        <v>120.17</v>
      </c>
      <c r="C22" t="s">
        <v>159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</v>
      </c>
      <c r="AH22">
        <v>0</v>
      </c>
      <c r="AI22">
        <v>0</v>
      </c>
      <c r="AJ22">
        <v>0</v>
      </c>
      <c r="AK22">
        <v>0</v>
      </c>
      <c r="AL22">
        <v>1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1</v>
      </c>
      <c r="DT22">
        <v>0</v>
      </c>
      <c r="DU22">
        <v>0</v>
      </c>
      <c r="DV22">
        <v>0</v>
      </c>
      <c r="DW22">
        <v>0</v>
      </c>
      <c r="DX22">
        <v>1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</row>
    <row r="23" spans="1:139" x14ac:dyDescent="0.2">
      <c r="A23">
        <v>7</v>
      </c>
      <c r="B23">
        <v>120.14</v>
      </c>
      <c r="C23" t="s">
        <v>160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1</v>
      </c>
      <c r="AH23">
        <v>0</v>
      </c>
      <c r="AI23">
        <v>0</v>
      </c>
      <c r="AJ23">
        <v>0</v>
      </c>
      <c r="AK23">
        <v>0</v>
      </c>
      <c r="AL23">
        <v>1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1</v>
      </c>
      <c r="DT23">
        <v>0</v>
      </c>
      <c r="DU23">
        <v>0</v>
      </c>
      <c r="DV23">
        <v>1</v>
      </c>
      <c r="DW23">
        <v>1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</row>
    <row r="24" spans="1:139" x14ac:dyDescent="0.2">
      <c r="A24">
        <v>7</v>
      </c>
      <c r="B24">
        <v>117.17</v>
      </c>
      <c r="C24" t="s">
        <v>161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1</v>
      </c>
      <c r="AT24">
        <v>0</v>
      </c>
      <c r="AU24">
        <v>0</v>
      </c>
      <c r="AV24">
        <v>0</v>
      </c>
      <c r="AW24">
        <v>1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1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</row>
    <row r="25" spans="1:139" x14ac:dyDescent="0.2">
      <c r="A25">
        <v>7</v>
      </c>
      <c r="B25" t="s">
        <v>139</v>
      </c>
      <c r="C25" t="s">
        <v>162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1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1</v>
      </c>
      <c r="BN25">
        <v>0</v>
      </c>
      <c r="BO25">
        <v>1</v>
      </c>
      <c r="BP25">
        <v>1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</row>
    <row r="26" spans="1:139" x14ac:dyDescent="0.2">
      <c r="A26">
        <v>8</v>
      </c>
      <c r="B26">
        <v>117.17</v>
      </c>
      <c r="C26" t="s">
        <v>163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</row>
    <row r="27" spans="1:139" x14ac:dyDescent="0.2">
      <c r="A27">
        <v>8</v>
      </c>
      <c r="B27">
        <v>120.17</v>
      </c>
      <c r="C27" t="s">
        <v>163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</row>
    <row r="28" spans="1:139" x14ac:dyDescent="0.2">
      <c r="A28">
        <v>8</v>
      </c>
      <c r="B28" t="s">
        <v>139</v>
      </c>
      <c r="C28" t="s">
        <v>164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</row>
    <row r="29" spans="1:139" x14ac:dyDescent="0.2">
      <c r="A29">
        <v>8</v>
      </c>
      <c r="B29">
        <v>120.14</v>
      </c>
      <c r="C29" t="s">
        <v>164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</row>
    <row r="30" spans="1:139" x14ac:dyDescent="0.2">
      <c r="A30">
        <v>9</v>
      </c>
      <c r="B30" t="s">
        <v>139</v>
      </c>
      <c r="C30" t="s">
        <v>165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1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1</v>
      </c>
      <c r="EF30">
        <v>0</v>
      </c>
      <c r="EG30">
        <v>0</v>
      </c>
      <c r="EH30">
        <v>0</v>
      </c>
      <c r="EI30">
        <v>0</v>
      </c>
    </row>
    <row r="31" spans="1:139" x14ac:dyDescent="0.2">
      <c r="A31">
        <v>9</v>
      </c>
      <c r="B31">
        <v>117.17</v>
      </c>
      <c r="C31" t="s">
        <v>166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1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1</v>
      </c>
      <c r="DA31">
        <v>0</v>
      </c>
      <c r="DB31">
        <v>0</v>
      </c>
      <c r="DC31">
        <v>0</v>
      </c>
      <c r="DD31">
        <v>0</v>
      </c>
      <c r="DE31">
        <v>1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</row>
    <row r="32" spans="1:139" x14ac:dyDescent="0.2">
      <c r="A32">
        <v>9</v>
      </c>
      <c r="B32">
        <v>120.14</v>
      </c>
      <c r="C32" t="s">
        <v>158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</row>
    <row r="33" spans="1:139" x14ac:dyDescent="0.2">
      <c r="A33">
        <v>9</v>
      </c>
      <c r="B33">
        <v>120.17</v>
      </c>
      <c r="C33" t="s">
        <v>167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1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</row>
    <row r="34" spans="1:139" x14ac:dyDescent="0.2">
      <c r="A34">
        <v>10</v>
      </c>
      <c r="B34">
        <v>120.14</v>
      </c>
      <c r="C34" t="s">
        <v>168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1</v>
      </c>
      <c r="DA34">
        <v>1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</row>
    <row r="35" spans="1:139" x14ac:dyDescent="0.2">
      <c r="A35">
        <v>10</v>
      </c>
      <c r="B35" t="s">
        <v>139</v>
      </c>
      <c r="C35" t="s">
        <v>169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1</v>
      </c>
      <c r="CR35">
        <v>1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</row>
    <row r="36" spans="1:139" x14ac:dyDescent="0.2">
      <c r="A36">
        <v>10</v>
      </c>
      <c r="B36">
        <v>120.17</v>
      </c>
      <c r="C36" t="s">
        <v>170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1</v>
      </c>
      <c r="CR36">
        <v>0</v>
      </c>
      <c r="CS36">
        <v>0</v>
      </c>
      <c r="CT36">
        <v>1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</row>
    <row r="37" spans="1:139" x14ac:dyDescent="0.2">
      <c r="A37">
        <v>10</v>
      </c>
      <c r="B37">
        <v>117.17</v>
      </c>
      <c r="C37" t="s">
        <v>171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1</v>
      </c>
      <c r="AT37">
        <v>0</v>
      </c>
      <c r="AU37">
        <v>0</v>
      </c>
      <c r="AV37">
        <v>1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</row>
    <row r="38" spans="1:139" x14ac:dyDescent="0.2">
      <c r="A38">
        <v>11</v>
      </c>
      <c r="B38">
        <v>120.17</v>
      </c>
      <c r="C38" t="s">
        <v>172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1</v>
      </c>
      <c r="AH38">
        <v>0</v>
      </c>
      <c r="AI38">
        <v>0</v>
      </c>
      <c r="AJ38">
        <v>0</v>
      </c>
      <c r="AK38">
        <v>0</v>
      </c>
      <c r="AL38">
        <v>1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</row>
    <row r="39" spans="1:139" x14ac:dyDescent="0.2">
      <c r="A39">
        <v>11</v>
      </c>
      <c r="B39">
        <v>120.14</v>
      </c>
      <c r="C39" t="s">
        <v>172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1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</row>
    <row r="40" spans="1:139" x14ac:dyDescent="0.2">
      <c r="A40">
        <v>11</v>
      </c>
      <c r="B40">
        <v>117.17</v>
      </c>
      <c r="C40" t="s">
        <v>172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1</v>
      </c>
      <c r="AH40">
        <v>0</v>
      </c>
      <c r="AI40">
        <v>0</v>
      </c>
      <c r="AJ40">
        <v>0</v>
      </c>
      <c r="AK40">
        <v>0</v>
      </c>
      <c r="AL40">
        <v>1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</row>
    <row r="41" spans="1:139" x14ac:dyDescent="0.2">
      <c r="A41">
        <v>11</v>
      </c>
      <c r="B41" t="s">
        <v>139</v>
      </c>
      <c r="C41" t="s">
        <v>172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</v>
      </c>
      <c r="AH41">
        <v>0</v>
      </c>
      <c r="AI41">
        <v>0</v>
      </c>
      <c r="AJ41">
        <v>0</v>
      </c>
      <c r="AK41">
        <v>0</v>
      </c>
      <c r="AL41">
        <v>1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</row>
    <row r="42" spans="1:139" x14ac:dyDescent="0.2">
      <c r="A42">
        <v>12</v>
      </c>
      <c r="B42">
        <v>117.17</v>
      </c>
      <c r="C42" t="s">
        <v>173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1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</row>
    <row r="43" spans="1:139" x14ac:dyDescent="0.2">
      <c r="A43">
        <v>12</v>
      </c>
      <c r="B43">
        <v>120.17</v>
      </c>
      <c r="C43" t="s">
        <v>174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</row>
    <row r="44" spans="1:139" x14ac:dyDescent="0.2">
      <c r="A44">
        <v>12</v>
      </c>
      <c r="B44" t="s">
        <v>139</v>
      </c>
      <c r="C44" t="s">
        <v>175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1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</row>
    <row r="45" spans="1:139" x14ac:dyDescent="0.2">
      <c r="A45">
        <v>12</v>
      </c>
      <c r="B45">
        <v>120.14</v>
      </c>
      <c r="C45" t="s">
        <v>176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1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</row>
    <row r="46" spans="1:139" x14ac:dyDescent="0.2">
      <c r="A46">
        <v>13</v>
      </c>
      <c r="B46" t="s">
        <v>139</v>
      </c>
      <c r="C46" t="s">
        <v>177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</row>
    <row r="47" spans="1:139" x14ac:dyDescent="0.2">
      <c r="A47">
        <v>13</v>
      </c>
      <c r="B47">
        <v>117.17</v>
      </c>
      <c r="C47" t="s">
        <v>158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</row>
    <row r="48" spans="1:139" x14ac:dyDescent="0.2">
      <c r="A48">
        <v>13</v>
      </c>
      <c r="B48">
        <v>120.14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</row>
    <row r="49" spans="1:139" x14ac:dyDescent="0.2">
      <c r="A49">
        <v>13</v>
      </c>
      <c r="B49">
        <v>120.17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</row>
    <row r="50" spans="1:139" x14ac:dyDescent="0.2">
      <c r="A50">
        <v>14</v>
      </c>
      <c r="B50">
        <v>120.14</v>
      </c>
      <c r="C50" t="s">
        <v>178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</row>
    <row r="51" spans="1:139" x14ac:dyDescent="0.2">
      <c r="A51">
        <v>14</v>
      </c>
      <c r="B51" t="s">
        <v>139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</row>
    <row r="52" spans="1:139" x14ac:dyDescent="0.2">
      <c r="A52">
        <v>14</v>
      </c>
      <c r="B52">
        <v>120.17</v>
      </c>
      <c r="C52" t="s">
        <v>164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</row>
    <row r="53" spans="1:139" x14ac:dyDescent="0.2">
      <c r="A53">
        <v>14</v>
      </c>
      <c r="B53">
        <v>117.17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</row>
    <row r="54" spans="1:139" x14ac:dyDescent="0.2">
      <c r="A54">
        <v>15</v>
      </c>
      <c r="B54">
        <v>120.17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</row>
    <row r="55" spans="1:139" x14ac:dyDescent="0.2">
      <c r="A55">
        <v>15</v>
      </c>
      <c r="B55">
        <v>120.14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</row>
    <row r="56" spans="1:139" x14ac:dyDescent="0.2">
      <c r="A56">
        <v>15</v>
      </c>
      <c r="B56">
        <v>117.17</v>
      </c>
      <c r="C56" t="s">
        <v>179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</row>
    <row r="57" spans="1:139" x14ac:dyDescent="0.2">
      <c r="A57">
        <v>15</v>
      </c>
      <c r="B57" t="s">
        <v>139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</row>
    <row r="58" spans="1:139" x14ac:dyDescent="0.2">
      <c r="A58">
        <v>16</v>
      </c>
      <c r="B58">
        <v>117.17</v>
      </c>
      <c r="C58" t="s">
        <v>180</v>
      </c>
      <c r="D58">
        <v>1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1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</row>
    <row r="59" spans="1:139" x14ac:dyDescent="0.2">
      <c r="A59">
        <v>16</v>
      </c>
      <c r="B59">
        <v>120.17</v>
      </c>
      <c r="C59" t="s">
        <v>181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1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1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</row>
    <row r="60" spans="1:139" x14ac:dyDescent="0.2">
      <c r="A60">
        <v>16</v>
      </c>
      <c r="B60" t="s">
        <v>139</v>
      </c>
      <c r="C60" t="s">
        <v>164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</row>
    <row r="61" spans="1:139" x14ac:dyDescent="0.2">
      <c r="A61">
        <v>16</v>
      </c>
      <c r="B61">
        <v>120.14</v>
      </c>
      <c r="C61" t="s">
        <v>182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1</v>
      </c>
      <c r="AH61">
        <v>0</v>
      </c>
      <c r="AI61">
        <v>0</v>
      </c>
      <c r="AJ61">
        <v>0</v>
      </c>
      <c r="AK61">
        <v>0</v>
      </c>
      <c r="AL61">
        <v>1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</row>
    <row r="62" spans="1:139" x14ac:dyDescent="0.2">
      <c r="A62">
        <v>17</v>
      </c>
      <c r="B62" t="s">
        <v>139</v>
      </c>
      <c r="C62" t="s">
        <v>183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1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1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</row>
    <row r="63" spans="1:139" x14ac:dyDescent="0.2">
      <c r="A63">
        <v>17</v>
      </c>
      <c r="B63">
        <v>117.17</v>
      </c>
      <c r="C63" t="s">
        <v>184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1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1</v>
      </c>
      <c r="EF63">
        <v>0</v>
      </c>
      <c r="EG63">
        <v>0</v>
      </c>
      <c r="EH63">
        <v>0</v>
      </c>
      <c r="EI63">
        <v>0</v>
      </c>
    </row>
    <row r="64" spans="1:139" x14ac:dyDescent="0.2">
      <c r="A64">
        <v>17</v>
      </c>
      <c r="B64">
        <v>120.14</v>
      </c>
      <c r="C64" t="s">
        <v>185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</row>
    <row r="65" spans="1:139" x14ac:dyDescent="0.2">
      <c r="A65">
        <v>17</v>
      </c>
      <c r="B65">
        <v>120.17</v>
      </c>
      <c r="C65" t="s">
        <v>186</v>
      </c>
      <c r="D65">
        <v>0</v>
      </c>
      <c r="E65">
        <v>0</v>
      </c>
      <c r="F65">
        <v>1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</row>
    <row r="66" spans="1:139" x14ac:dyDescent="0.2">
      <c r="A66">
        <v>18</v>
      </c>
      <c r="B66">
        <v>120.14</v>
      </c>
      <c r="C66" t="s">
        <v>179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</row>
    <row r="67" spans="1:139" x14ac:dyDescent="0.2">
      <c r="A67">
        <v>18</v>
      </c>
      <c r="B67" t="s">
        <v>139</v>
      </c>
      <c r="C67" t="s">
        <v>187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1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</row>
    <row r="68" spans="1:139" x14ac:dyDescent="0.2">
      <c r="A68">
        <v>18</v>
      </c>
      <c r="B68">
        <v>120.17</v>
      </c>
      <c r="C68" t="s">
        <v>188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1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1</v>
      </c>
      <c r="BV68">
        <v>0</v>
      </c>
      <c r="BW68">
        <v>0</v>
      </c>
      <c r="BX68">
        <v>1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</row>
    <row r="69" spans="1:139" x14ac:dyDescent="0.2">
      <c r="A69">
        <v>18</v>
      </c>
      <c r="B69">
        <v>117.17</v>
      </c>
      <c r="C69" t="s">
        <v>189</v>
      </c>
      <c r="D69">
        <v>0</v>
      </c>
      <c r="E69">
        <v>0</v>
      </c>
      <c r="F69">
        <v>0</v>
      </c>
      <c r="G69">
        <v>0</v>
      </c>
      <c r="H69">
        <v>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1</v>
      </c>
      <c r="AP69">
        <v>1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</row>
    <row r="70" spans="1:139" x14ac:dyDescent="0.2">
      <c r="A70">
        <v>19</v>
      </c>
      <c r="B70">
        <v>120.17</v>
      </c>
      <c r="C70" t="s">
        <v>190</v>
      </c>
      <c r="D70">
        <v>0</v>
      </c>
      <c r="E70">
        <v>0</v>
      </c>
      <c r="F70">
        <v>0</v>
      </c>
      <c r="G70">
        <v>0</v>
      </c>
      <c r="H70">
        <v>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</row>
    <row r="71" spans="1:139" x14ac:dyDescent="0.2">
      <c r="A71">
        <v>19</v>
      </c>
      <c r="B71">
        <v>120.14</v>
      </c>
      <c r="C71" t="s">
        <v>158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</row>
    <row r="72" spans="1:139" x14ac:dyDescent="0.2">
      <c r="A72">
        <v>19</v>
      </c>
      <c r="B72">
        <v>117.17</v>
      </c>
      <c r="C72" t="s">
        <v>191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1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</row>
    <row r="73" spans="1:139" x14ac:dyDescent="0.2">
      <c r="A73">
        <v>19</v>
      </c>
      <c r="B73" t="s">
        <v>139</v>
      </c>
      <c r="C73" t="s">
        <v>192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</row>
    <row r="74" spans="1:139" x14ac:dyDescent="0.2">
      <c r="A74">
        <v>20</v>
      </c>
      <c r="B74">
        <v>117.17</v>
      </c>
      <c r="C74" t="s">
        <v>193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</row>
    <row r="75" spans="1:139" x14ac:dyDescent="0.2">
      <c r="A75">
        <v>20</v>
      </c>
      <c r="B75">
        <v>120.17</v>
      </c>
      <c r="C75" t="s">
        <v>190</v>
      </c>
      <c r="D75">
        <v>0</v>
      </c>
      <c r="E75">
        <v>0</v>
      </c>
      <c r="F75">
        <v>0</v>
      </c>
      <c r="G75">
        <v>0</v>
      </c>
      <c r="H75">
        <v>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</row>
    <row r="76" spans="1:139" x14ac:dyDescent="0.2">
      <c r="A76">
        <v>20</v>
      </c>
      <c r="B76" t="s">
        <v>139</v>
      </c>
      <c r="C76" t="s">
        <v>194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1</v>
      </c>
      <c r="AH76">
        <v>0</v>
      </c>
      <c r="AI76">
        <v>0</v>
      </c>
      <c r="AJ76">
        <v>0</v>
      </c>
      <c r="AK76">
        <v>0</v>
      </c>
      <c r="AL76">
        <v>1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</row>
    <row r="77" spans="1:139" x14ac:dyDescent="0.2">
      <c r="A77">
        <v>20</v>
      </c>
      <c r="B77">
        <v>120.14</v>
      </c>
      <c r="C77" t="s">
        <v>190</v>
      </c>
      <c r="D77">
        <v>0</v>
      </c>
      <c r="E77">
        <v>0</v>
      </c>
      <c r="F77">
        <v>0</v>
      </c>
      <c r="G77">
        <v>0</v>
      </c>
      <c r="H77">
        <v>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</row>
    <row r="78" spans="1:139" x14ac:dyDescent="0.2">
      <c r="A78">
        <v>21</v>
      </c>
      <c r="B78" t="s">
        <v>139</v>
      </c>
      <c r="C78" t="s">
        <v>195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1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</row>
    <row r="79" spans="1:139" x14ac:dyDescent="0.2">
      <c r="A79">
        <v>21</v>
      </c>
      <c r="B79">
        <v>117.17</v>
      </c>
      <c r="C79" t="s">
        <v>158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</row>
    <row r="80" spans="1:139" x14ac:dyDescent="0.2">
      <c r="A80">
        <v>21</v>
      </c>
      <c r="B80">
        <v>120.14</v>
      </c>
      <c r="C80" t="s">
        <v>196</v>
      </c>
      <c r="D80">
        <v>0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</row>
    <row r="81" spans="1:139" x14ac:dyDescent="0.2">
      <c r="A81">
        <v>21</v>
      </c>
      <c r="B81">
        <v>120.17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</row>
    <row r="82" spans="1:139" x14ac:dyDescent="0.2">
      <c r="A82">
        <v>22</v>
      </c>
      <c r="B82">
        <v>120.14</v>
      </c>
      <c r="C82" t="s">
        <v>197</v>
      </c>
      <c r="D82">
        <v>0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1</v>
      </c>
      <c r="X82">
        <v>0</v>
      </c>
      <c r="Y82">
        <v>0</v>
      </c>
      <c r="Z82">
        <v>1</v>
      </c>
      <c r="AA82">
        <v>1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1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</row>
    <row r="83" spans="1:139" x14ac:dyDescent="0.2">
      <c r="A83">
        <v>22</v>
      </c>
      <c r="B83" t="s">
        <v>139</v>
      </c>
      <c r="C83" t="s">
        <v>198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1</v>
      </c>
      <c r="EF83">
        <v>0</v>
      </c>
      <c r="EG83">
        <v>0</v>
      </c>
      <c r="EH83">
        <v>0</v>
      </c>
      <c r="EI83">
        <v>1</v>
      </c>
    </row>
    <row r="84" spans="1:139" x14ac:dyDescent="0.2">
      <c r="A84">
        <v>22</v>
      </c>
      <c r="B84">
        <v>120.17</v>
      </c>
      <c r="C84" t="s">
        <v>199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1</v>
      </c>
      <c r="Z84">
        <v>0</v>
      </c>
      <c r="AA84">
        <v>1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1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1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1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</row>
    <row r="85" spans="1:139" x14ac:dyDescent="0.2">
      <c r="A85">
        <v>22</v>
      </c>
      <c r="B85">
        <v>117.17</v>
      </c>
      <c r="C85" t="s">
        <v>200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1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1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1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</row>
    <row r="86" spans="1:139" x14ac:dyDescent="0.2">
      <c r="A86">
        <v>23</v>
      </c>
      <c r="B86">
        <v>120.17</v>
      </c>
      <c r="C86" t="s">
        <v>201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</row>
    <row r="87" spans="1:139" x14ac:dyDescent="0.2">
      <c r="A87">
        <v>23</v>
      </c>
      <c r="B87">
        <v>120.14</v>
      </c>
      <c r="C87" t="s">
        <v>202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</row>
    <row r="88" spans="1:139" x14ac:dyDescent="0.2">
      <c r="A88">
        <v>23</v>
      </c>
      <c r="B88">
        <v>117.17</v>
      </c>
      <c r="C88" t="s">
        <v>203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</row>
    <row r="89" spans="1:139" x14ac:dyDescent="0.2">
      <c r="A89">
        <v>23</v>
      </c>
      <c r="B89" t="s">
        <v>139</v>
      </c>
      <c r="C89" t="s">
        <v>204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</row>
    <row r="90" spans="1:139" x14ac:dyDescent="0.2">
      <c r="A90">
        <v>24</v>
      </c>
      <c r="B90">
        <v>117.17</v>
      </c>
      <c r="C90" t="s">
        <v>164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</row>
    <row r="91" spans="1:139" x14ac:dyDescent="0.2">
      <c r="A91">
        <v>24</v>
      </c>
      <c r="B91">
        <v>120.17</v>
      </c>
      <c r="C91" t="s">
        <v>205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</row>
    <row r="92" spans="1:139" x14ac:dyDescent="0.2">
      <c r="A92">
        <v>24</v>
      </c>
      <c r="B92" t="s">
        <v>139</v>
      </c>
      <c r="C92" t="s">
        <v>164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</row>
    <row r="93" spans="1:139" x14ac:dyDescent="0.2">
      <c r="A93">
        <v>24</v>
      </c>
      <c r="B93">
        <v>120.14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</row>
    <row r="94" spans="1:139" x14ac:dyDescent="0.2">
      <c r="A94">
        <v>25</v>
      </c>
      <c r="B94" t="s">
        <v>139</v>
      </c>
      <c r="C94" t="s">
        <v>206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1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</row>
    <row r="95" spans="1:139" x14ac:dyDescent="0.2">
      <c r="A95">
        <v>25</v>
      </c>
      <c r="B95">
        <v>117.17</v>
      </c>
      <c r="C95" t="s">
        <v>207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1</v>
      </c>
      <c r="EF95">
        <v>0</v>
      </c>
      <c r="EG95">
        <v>0</v>
      </c>
      <c r="EH95">
        <v>0</v>
      </c>
      <c r="EI95">
        <v>0</v>
      </c>
    </row>
    <row r="96" spans="1:139" x14ac:dyDescent="0.2">
      <c r="A96">
        <v>25</v>
      </c>
      <c r="B96">
        <v>120.14</v>
      </c>
      <c r="C96" t="s">
        <v>208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1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1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</row>
    <row r="97" spans="1:139" x14ac:dyDescent="0.2">
      <c r="A97">
        <v>25</v>
      </c>
      <c r="B97">
        <v>120.17</v>
      </c>
      <c r="C97" t="s">
        <v>209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1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</row>
    <row r="98" spans="1:139" x14ac:dyDescent="0.2">
      <c r="A98">
        <v>26</v>
      </c>
      <c r="B98">
        <v>120.14</v>
      </c>
      <c r="C98" t="s">
        <v>210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1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1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</row>
    <row r="99" spans="1:139" x14ac:dyDescent="0.2">
      <c r="A99">
        <v>26</v>
      </c>
      <c r="B99" t="s">
        <v>139</v>
      </c>
      <c r="C99" t="s">
        <v>211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1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1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</row>
    <row r="100" spans="1:139" x14ac:dyDescent="0.2">
      <c r="A100">
        <v>26</v>
      </c>
      <c r="B100">
        <v>120.17</v>
      </c>
      <c r="C100" t="s">
        <v>212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1</v>
      </c>
      <c r="BH100">
        <v>1</v>
      </c>
      <c r="BI100">
        <v>1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</row>
    <row r="101" spans="1:139" x14ac:dyDescent="0.2">
      <c r="A101">
        <v>26</v>
      </c>
      <c r="B101">
        <v>117.17</v>
      </c>
      <c r="C101" t="s">
        <v>213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1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0</v>
      </c>
      <c r="AF101">
        <v>0</v>
      </c>
      <c r="AG101">
        <v>1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1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1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</row>
    <row r="102" spans="1:139" x14ac:dyDescent="0.2">
      <c r="A102">
        <v>27</v>
      </c>
      <c r="B102">
        <v>120.17</v>
      </c>
      <c r="C102" t="s">
        <v>214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1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</row>
    <row r="103" spans="1:139" x14ac:dyDescent="0.2">
      <c r="A103">
        <v>27</v>
      </c>
      <c r="B103">
        <v>120.14</v>
      </c>
      <c r="C103" t="s">
        <v>176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1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</row>
    <row r="104" spans="1:139" x14ac:dyDescent="0.2">
      <c r="A104">
        <v>27</v>
      </c>
      <c r="B104">
        <v>117.17</v>
      </c>
      <c r="C104" t="s">
        <v>215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1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1</v>
      </c>
      <c r="EF104">
        <v>0</v>
      </c>
      <c r="EG104">
        <v>0</v>
      </c>
      <c r="EH104">
        <v>0</v>
      </c>
      <c r="EI104">
        <v>0</v>
      </c>
    </row>
    <row r="105" spans="1:139" x14ac:dyDescent="0.2">
      <c r="A105">
        <v>27</v>
      </c>
      <c r="B105" t="s">
        <v>139</v>
      </c>
      <c r="C105" t="s">
        <v>216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1</v>
      </c>
      <c r="BH105">
        <v>0</v>
      </c>
      <c r="BI105">
        <v>0</v>
      </c>
      <c r="BJ105">
        <v>0</v>
      </c>
      <c r="BK105">
        <v>0</v>
      </c>
      <c r="BL105">
        <v>1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1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</row>
    <row r="106" spans="1:139" x14ac:dyDescent="0.2">
      <c r="A106">
        <v>28</v>
      </c>
      <c r="B106">
        <v>117.17</v>
      </c>
      <c r="C106" t="s">
        <v>217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</v>
      </c>
      <c r="W106">
        <v>1</v>
      </c>
      <c r="X106">
        <v>0</v>
      </c>
      <c r="Y106">
        <v>1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1</v>
      </c>
      <c r="BH106">
        <v>1</v>
      </c>
      <c r="BI106">
        <v>0</v>
      </c>
      <c r="BJ106">
        <v>1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1</v>
      </c>
      <c r="DF106">
        <v>1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</row>
    <row r="107" spans="1:139" x14ac:dyDescent="0.2">
      <c r="A107">
        <v>28</v>
      </c>
      <c r="B107">
        <v>120.17</v>
      </c>
      <c r="C107" t="s">
        <v>218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1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1</v>
      </c>
      <c r="DF107">
        <v>1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</row>
    <row r="108" spans="1:139" x14ac:dyDescent="0.2">
      <c r="A108">
        <v>28</v>
      </c>
      <c r="B108" t="s">
        <v>139</v>
      </c>
      <c r="C108" t="s">
        <v>219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1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1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</row>
    <row r="109" spans="1:139" x14ac:dyDescent="0.2">
      <c r="A109">
        <v>28</v>
      </c>
      <c r="B109">
        <v>120.14</v>
      </c>
      <c r="C109" t="s">
        <v>220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0</v>
      </c>
      <c r="Y109">
        <v>1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1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1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</row>
    <row r="110" spans="1:139" x14ac:dyDescent="0.2">
      <c r="A110">
        <v>29</v>
      </c>
      <c r="B110" t="s">
        <v>139</v>
      </c>
      <c r="C110" t="s">
        <v>149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1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</row>
    <row r="111" spans="1:139" x14ac:dyDescent="0.2">
      <c r="A111">
        <v>29</v>
      </c>
      <c r="B111">
        <v>117.17</v>
      </c>
      <c r="C111" t="s">
        <v>221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</row>
    <row r="112" spans="1:139" x14ac:dyDescent="0.2">
      <c r="A112">
        <v>29</v>
      </c>
      <c r="B112">
        <v>120.14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</row>
    <row r="113" spans="1:139" x14ac:dyDescent="0.2">
      <c r="A113">
        <v>29</v>
      </c>
      <c r="B113">
        <v>120.17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</row>
    <row r="114" spans="1:139" x14ac:dyDescent="0.2">
      <c r="A114">
        <v>30</v>
      </c>
      <c r="B114">
        <v>120.14</v>
      </c>
      <c r="C114" t="s">
        <v>190</v>
      </c>
      <c r="D114">
        <v>0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</row>
    <row r="115" spans="1:139" x14ac:dyDescent="0.2">
      <c r="A115">
        <v>30</v>
      </c>
      <c r="B115" t="s">
        <v>139</v>
      </c>
      <c r="C115" t="s">
        <v>222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</row>
    <row r="116" spans="1:139" x14ac:dyDescent="0.2">
      <c r="A116">
        <v>30</v>
      </c>
      <c r="B116">
        <v>120.17</v>
      </c>
      <c r="C116" t="s">
        <v>223</v>
      </c>
      <c r="D116">
        <v>0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1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</row>
    <row r="117" spans="1:139" x14ac:dyDescent="0.2">
      <c r="A117">
        <v>30</v>
      </c>
      <c r="B117">
        <v>117.17</v>
      </c>
      <c r="C117" t="s">
        <v>224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1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</row>
    <row r="118" spans="1:139" x14ac:dyDescent="0.2">
      <c r="A118">
        <v>31</v>
      </c>
      <c r="B118">
        <v>120.17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</row>
    <row r="119" spans="1:139" x14ac:dyDescent="0.2">
      <c r="A119">
        <v>31</v>
      </c>
      <c r="B119">
        <v>120.14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</row>
    <row r="120" spans="1:139" x14ac:dyDescent="0.2">
      <c r="A120">
        <v>31</v>
      </c>
      <c r="B120">
        <v>117.17</v>
      </c>
      <c r="C120" t="s">
        <v>158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</row>
    <row r="121" spans="1:139" x14ac:dyDescent="0.2">
      <c r="A121">
        <v>31</v>
      </c>
      <c r="B121" t="s">
        <v>139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</row>
    <row r="122" spans="1:139" x14ac:dyDescent="0.2">
      <c r="A122">
        <v>32</v>
      </c>
      <c r="B122">
        <v>117.17</v>
      </c>
      <c r="C122" t="s">
        <v>225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</row>
    <row r="123" spans="1:139" x14ac:dyDescent="0.2">
      <c r="A123">
        <v>32</v>
      </c>
      <c r="B123">
        <v>120.17</v>
      </c>
      <c r="C123" t="s">
        <v>226</v>
      </c>
      <c r="D123">
        <v>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1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</row>
    <row r="124" spans="1:139" x14ac:dyDescent="0.2">
      <c r="A124">
        <v>32</v>
      </c>
      <c r="B124" t="s">
        <v>139</v>
      </c>
      <c r="C124" t="s">
        <v>227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</row>
    <row r="125" spans="1:139" x14ac:dyDescent="0.2">
      <c r="A125">
        <v>32</v>
      </c>
      <c r="B125">
        <v>120.14</v>
      </c>
      <c r="C125" t="s">
        <v>228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1</v>
      </c>
      <c r="EF125">
        <v>0</v>
      </c>
      <c r="EG125">
        <v>0</v>
      </c>
      <c r="EH125">
        <v>0</v>
      </c>
      <c r="EI125">
        <v>0</v>
      </c>
    </row>
    <row r="126" spans="1:139" x14ac:dyDescent="0.2">
      <c r="A126">
        <v>33</v>
      </c>
      <c r="B126" t="s">
        <v>139</v>
      </c>
      <c r="C126" t="s">
        <v>164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</row>
    <row r="127" spans="1:139" x14ac:dyDescent="0.2">
      <c r="A127">
        <v>33</v>
      </c>
      <c r="B127">
        <v>117.17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</row>
    <row r="128" spans="1:139" x14ac:dyDescent="0.2">
      <c r="A128">
        <v>33</v>
      </c>
      <c r="B128">
        <v>120.14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</row>
    <row r="129" spans="1:139" x14ac:dyDescent="0.2">
      <c r="A129">
        <v>33</v>
      </c>
      <c r="B129">
        <v>120.17</v>
      </c>
      <c r="C129" t="s">
        <v>164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</row>
    <row r="130" spans="1:139" x14ac:dyDescent="0.2">
      <c r="A130">
        <v>34</v>
      </c>
      <c r="B130">
        <v>120.14</v>
      </c>
      <c r="C130" t="s">
        <v>164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</row>
    <row r="131" spans="1:139" x14ac:dyDescent="0.2">
      <c r="A131">
        <v>34</v>
      </c>
      <c r="B131" t="s">
        <v>139</v>
      </c>
      <c r="C131" t="s">
        <v>164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</row>
    <row r="132" spans="1:139" x14ac:dyDescent="0.2">
      <c r="A132">
        <v>34</v>
      </c>
      <c r="B132">
        <v>120.17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</row>
    <row r="133" spans="1:139" x14ac:dyDescent="0.2">
      <c r="A133">
        <v>34</v>
      </c>
      <c r="B133">
        <v>117.17</v>
      </c>
      <c r="C133" t="s">
        <v>164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</row>
    <row r="134" spans="1:139" x14ac:dyDescent="0.2">
      <c r="A134">
        <v>35</v>
      </c>
      <c r="B134">
        <v>120.17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</row>
    <row r="135" spans="1:139" x14ac:dyDescent="0.2">
      <c r="A135">
        <v>35</v>
      </c>
      <c r="B135">
        <v>120.14</v>
      </c>
      <c r="C135" t="s">
        <v>164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</row>
    <row r="136" spans="1:139" x14ac:dyDescent="0.2">
      <c r="A136">
        <v>35</v>
      </c>
      <c r="B136">
        <v>117.17</v>
      </c>
      <c r="C136" t="s">
        <v>229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1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1</v>
      </c>
      <c r="BN136">
        <v>0</v>
      </c>
      <c r="BO136">
        <v>1</v>
      </c>
      <c r="BP136">
        <v>0</v>
      </c>
      <c r="BQ136">
        <v>0</v>
      </c>
      <c r="BR136">
        <v>0</v>
      </c>
      <c r="BS136">
        <v>1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</row>
    <row r="137" spans="1:139" x14ac:dyDescent="0.2">
      <c r="A137">
        <v>35</v>
      </c>
      <c r="B137" t="s">
        <v>139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</row>
    <row r="138" spans="1:139" x14ac:dyDescent="0.2">
      <c r="A138">
        <v>36</v>
      </c>
      <c r="B138">
        <v>117.17</v>
      </c>
      <c r="C138" t="s">
        <v>230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1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1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</row>
    <row r="139" spans="1:139" x14ac:dyDescent="0.2">
      <c r="A139">
        <v>36</v>
      </c>
      <c r="B139">
        <v>120.17</v>
      </c>
      <c r="C139" t="s">
        <v>231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1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1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</row>
    <row r="140" spans="1:139" x14ac:dyDescent="0.2">
      <c r="A140">
        <v>36</v>
      </c>
      <c r="B140" t="s">
        <v>139</v>
      </c>
      <c r="C140" t="s">
        <v>232</v>
      </c>
      <c r="D140">
        <v>0</v>
      </c>
      <c r="E140">
        <v>0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0</v>
      </c>
      <c r="AA140">
        <v>1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</row>
    <row r="141" spans="1:139" x14ac:dyDescent="0.2">
      <c r="A141">
        <v>36</v>
      </c>
      <c r="B141">
        <v>120.14</v>
      </c>
      <c r="C141" t="s">
        <v>233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1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1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</row>
    <row r="142" spans="1:139" x14ac:dyDescent="0.2">
      <c r="A142">
        <v>37</v>
      </c>
      <c r="B142" t="s">
        <v>139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</row>
    <row r="143" spans="1:139" x14ac:dyDescent="0.2">
      <c r="A143">
        <v>37</v>
      </c>
      <c r="B143">
        <v>117.17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</row>
    <row r="144" spans="1:139" x14ac:dyDescent="0.2">
      <c r="A144">
        <v>37</v>
      </c>
      <c r="B144">
        <v>120.14</v>
      </c>
      <c r="C144" t="s">
        <v>234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1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</row>
    <row r="145" spans="1:139" x14ac:dyDescent="0.2">
      <c r="A145">
        <v>37</v>
      </c>
      <c r="B145">
        <v>120.17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</row>
    <row r="146" spans="1:139" x14ac:dyDescent="0.2">
      <c r="A146">
        <v>38</v>
      </c>
      <c r="B146">
        <v>120.14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</row>
    <row r="147" spans="1:139" x14ac:dyDescent="0.2">
      <c r="A147">
        <v>38</v>
      </c>
      <c r="B147" t="s">
        <v>139</v>
      </c>
      <c r="C147" t="s">
        <v>142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</row>
    <row r="148" spans="1:139" x14ac:dyDescent="0.2">
      <c r="A148">
        <v>38</v>
      </c>
      <c r="B148">
        <v>120.17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</row>
    <row r="149" spans="1:139" x14ac:dyDescent="0.2">
      <c r="A149">
        <v>38</v>
      </c>
      <c r="B149">
        <v>117.17</v>
      </c>
      <c r="C149" t="s">
        <v>177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</row>
    <row r="150" spans="1:139" x14ac:dyDescent="0.2">
      <c r="A150">
        <v>39</v>
      </c>
      <c r="B150">
        <v>120.17</v>
      </c>
      <c r="C150" t="s">
        <v>235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1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1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1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</row>
    <row r="151" spans="1:139" x14ac:dyDescent="0.2">
      <c r="A151">
        <v>39</v>
      </c>
      <c r="B151">
        <v>120.14</v>
      </c>
      <c r="C151" t="s">
        <v>158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1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</row>
    <row r="152" spans="1:139" x14ac:dyDescent="0.2">
      <c r="A152">
        <v>39</v>
      </c>
      <c r="B152">
        <v>117.17</v>
      </c>
      <c r="C152" t="s">
        <v>236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</row>
    <row r="153" spans="1:139" x14ac:dyDescent="0.2">
      <c r="A153">
        <v>39</v>
      </c>
      <c r="B153" t="s">
        <v>139</v>
      </c>
      <c r="C153" t="s">
        <v>237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1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1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</row>
    <row r="154" spans="1:139" x14ac:dyDescent="0.2">
      <c r="A154">
        <v>40</v>
      </c>
      <c r="B154">
        <v>117.17</v>
      </c>
      <c r="C154" t="s">
        <v>238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1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</row>
    <row r="155" spans="1:139" x14ac:dyDescent="0.2">
      <c r="A155">
        <v>40</v>
      </c>
      <c r="B155">
        <v>120.17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</row>
    <row r="156" spans="1:139" x14ac:dyDescent="0.2">
      <c r="A156">
        <v>40</v>
      </c>
      <c r="B156" t="s">
        <v>139</v>
      </c>
      <c r="C156" t="s">
        <v>176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1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</row>
    <row r="157" spans="1:139" x14ac:dyDescent="0.2">
      <c r="A157">
        <v>40</v>
      </c>
      <c r="B157">
        <v>120.14</v>
      </c>
      <c r="C157" t="s">
        <v>239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1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</row>
    <row r="158" spans="1:139" x14ac:dyDescent="0.2">
      <c r="A158">
        <v>41</v>
      </c>
      <c r="B158" t="s">
        <v>139</v>
      </c>
      <c r="C158" t="s">
        <v>240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1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</row>
    <row r="159" spans="1:139" x14ac:dyDescent="0.2">
      <c r="A159">
        <v>41</v>
      </c>
      <c r="B159">
        <v>117.17</v>
      </c>
      <c r="C159" t="s">
        <v>241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1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1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</row>
    <row r="160" spans="1:139" x14ac:dyDescent="0.2">
      <c r="A160">
        <v>41</v>
      </c>
      <c r="B160">
        <v>120.14</v>
      </c>
      <c r="C160" t="s">
        <v>242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1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</row>
    <row r="161" spans="1:139" x14ac:dyDescent="0.2">
      <c r="A161">
        <v>41</v>
      </c>
      <c r="B161">
        <v>120.17</v>
      </c>
      <c r="C161" t="s">
        <v>243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1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</row>
    <row r="162" spans="1:139" x14ac:dyDescent="0.2">
      <c r="A162">
        <v>42</v>
      </c>
      <c r="B162">
        <v>120.14</v>
      </c>
      <c r="C162" t="s">
        <v>244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1</v>
      </c>
      <c r="BH162">
        <v>1</v>
      </c>
      <c r="BI162">
        <v>0</v>
      </c>
      <c r="BJ162">
        <v>0</v>
      </c>
      <c r="BK162">
        <v>0</v>
      </c>
      <c r="BL162">
        <v>0</v>
      </c>
      <c r="BM162">
        <v>1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</row>
    <row r="163" spans="1:139" x14ac:dyDescent="0.2">
      <c r="A163">
        <v>42</v>
      </c>
      <c r="B163" t="s">
        <v>139</v>
      </c>
      <c r="C163" t="s">
        <v>245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1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1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1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1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</row>
    <row r="164" spans="1:139" x14ac:dyDescent="0.2">
      <c r="A164">
        <v>42</v>
      </c>
      <c r="B164">
        <v>120.17</v>
      </c>
      <c r="C164" t="s">
        <v>246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1</v>
      </c>
      <c r="CR164">
        <v>1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</row>
    <row r="165" spans="1:139" x14ac:dyDescent="0.2">
      <c r="A165">
        <v>42</v>
      </c>
      <c r="B165">
        <v>117.17</v>
      </c>
      <c r="C165" t="s">
        <v>247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1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1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</row>
    <row r="166" spans="1:139" x14ac:dyDescent="0.2">
      <c r="A166">
        <v>43</v>
      </c>
      <c r="B166">
        <v>120.17</v>
      </c>
      <c r="C166" t="s">
        <v>248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1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1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</row>
    <row r="167" spans="1:139" x14ac:dyDescent="0.2">
      <c r="A167">
        <v>43</v>
      </c>
      <c r="B167">
        <v>120.14</v>
      </c>
      <c r="C167" t="s">
        <v>249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1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</row>
    <row r="168" spans="1:139" x14ac:dyDescent="0.2">
      <c r="A168">
        <v>43</v>
      </c>
      <c r="B168">
        <v>117.17</v>
      </c>
      <c r="C168" t="s">
        <v>250</v>
      </c>
      <c r="D168">
        <v>0</v>
      </c>
      <c r="E168">
        <v>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1</v>
      </c>
      <c r="EF168">
        <v>0</v>
      </c>
      <c r="EG168">
        <v>0</v>
      </c>
      <c r="EH168">
        <v>0</v>
      </c>
      <c r="EI168">
        <v>0</v>
      </c>
    </row>
    <row r="169" spans="1:139" x14ac:dyDescent="0.2">
      <c r="A169">
        <v>43</v>
      </c>
      <c r="B169" t="s">
        <v>139</v>
      </c>
      <c r="C169" t="s">
        <v>251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1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</row>
    <row r="170" spans="1:139" x14ac:dyDescent="0.2">
      <c r="A170">
        <v>44</v>
      </c>
      <c r="B170">
        <v>117.17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</row>
    <row r="171" spans="1:139" x14ac:dyDescent="0.2">
      <c r="A171">
        <v>44</v>
      </c>
      <c r="B171">
        <v>120.17</v>
      </c>
      <c r="C171" t="s">
        <v>234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1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</row>
    <row r="172" spans="1:139" x14ac:dyDescent="0.2">
      <c r="A172">
        <v>44</v>
      </c>
      <c r="B172" t="s">
        <v>139</v>
      </c>
      <c r="C172" t="s">
        <v>252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</row>
    <row r="173" spans="1:139" x14ac:dyDescent="0.2">
      <c r="A173">
        <v>44</v>
      </c>
      <c r="B173">
        <v>120.14</v>
      </c>
      <c r="C173" t="s">
        <v>253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1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</row>
    <row r="174" spans="1:139" x14ac:dyDescent="0.2">
      <c r="A174">
        <v>45</v>
      </c>
      <c r="B174" t="s">
        <v>139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</row>
    <row r="175" spans="1:139" x14ac:dyDescent="0.2">
      <c r="A175">
        <v>45</v>
      </c>
      <c r="B175">
        <v>117.17</v>
      </c>
      <c r="C175" t="s">
        <v>158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1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</row>
    <row r="176" spans="1:139" x14ac:dyDescent="0.2">
      <c r="A176">
        <v>45</v>
      </c>
      <c r="B176">
        <v>120.14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</row>
    <row r="177" spans="1:139" x14ac:dyDescent="0.2">
      <c r="A177">
        <v>45</v>
      </c>
      <c r="B177">
        <v>120.17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</row>
    <row r="178" spans="1:139" x14ac:dyDescent="0.2">
      <c r="A178">
        <v>46</v>
      </c>
      <c r="B178">
        <v>120.14</v>
      </c>
      <c r="C178" t="s">
        <v>254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0</v>
      </c>
      <c r="AI178">
        <v>0</v>
      </c>
      <c r="AJ178">
        <v>0</v>
      </c>
      <c r="AK178">
        <v>0</v>
      </c>
      <c r="AL178">
        <v>1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1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</row>
    <row r="179" spans="1:139" x14ac:dyDescent="0.2">
      <c r="A179">
        <v>46</v>
      </c>
      <c r="B179" t="s">
        <v>139</v>
      </c>
      <c r="C179" t="s">
        <v>255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0</v>
      </c>
      <c r="AI179">
        <v>0</v>
      </c>
      <c r="AJ179">
        <v>0</v>
      </c>
      <c r="AK179">
        <v>0</v>
      </c>
      <c r="AL179">
        <v>1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1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</row>
    <row r="180" spans="1:139" x14ac:dyDescent="0.2">
      <c r="A180">
        <v>46</v>
      </c>
      <c r="B180">
        <v>120.17</v>
      </c>
      <c r="C180" t="s">
        <v>158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</row>
    <row r="181" spans="1:139" x14ac:dyDescent="0.2">
      <c r="A181">
        <v>46</v>
      </c>
      <c r="B181">
        <v>117.17</v>
      </c>
      <c r="C181" t="s">
        <v>256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1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</row>
    <row r="182" spans="1:139" x14ac:dyDescent="0.2">
      <c r="A182">
        <v>47</v>
      </c>
      <c r="B182">
        <v>120.17</v>
      </c>
      <c r="C182" t="s">
        <v>164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</row>
    <row r="183" spans="1:139" x14ac:dyDescent="0.2">
      <c r="A183">
        <v>47</v>
      </c>
      <c r="B183">
        <v>120.14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</row>
    <row r="184" spans="1:139" x14ac:dyDescent="0.2">
      <c r="A184">
        <v>47</v>
      </c>
      <c r="B184">
        <v>117.17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</row>
    <row r="185" spans="1:139" x14ac:dyDescent="0.2">
      <c r="A185">
        <v>47</v>
      </c>
      <c r="B185" t="s">
        <v>139</v>
      </c>
      <c r="C185" t="s">
        <v>158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</row>
    <row r="186" spans="1:139" x14ac:dyDescent="0.2">
      <c r="A186">
        <v>48</v>
      </c>
      <c r="B186">
        <v>117.17</v>
      </c>
      <c r="C186" t="s">
        <v>257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1</v>
      </c>
      <c r="AT186">
        <v>0</v>
      </c>
      <c r="AU186">
        <v>0</v>
      </c>
      <c r="AV186">
        <v>1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</row>
    <row r="187" spans="1:139" x14ac:dyDescent="0.2">
      <c r="A187">
        <v>48</v>
      </c>
      <c r="B187">
        <v>120.17</v>
      </c>
      <c r="C187" t="s">
        <v>258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1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1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</row>
    <row r="188" spans="1:139" x14ac:dyDescent="0.2">
      <c r="A188">
        <v>48</v>
      </c>
      <c r="B188" t="s">
        <v>139</v>
      </c>
      <c r="C188" t="s">
        <v>259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1</v>
      </c>
      <c r="AH188">
        <v>1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1</v>
      </c>
      <c r="AT188">
        <v>0</v>
      </c>
      <c r="AU188">
        <v>0</v>
      </c>
      <c r="AV188">
        <v>1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</row>
    <row r="189" spans="1:139" x14ac:dyDescent="0.2">
      <c r="A189">
        <v>48</v>
      </c>
      <c r="B189">
        <v>120.14</v>
      </c>
      <c r="C189" t="s">
        <v>260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1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</row>
    <row r="190" spans="1:139" x14ac:dyDescent="0.2">
      <c r="A190">
        <v>49</v>
      </c>
      <c r="B190" t="s">
        <v>139</v>
      </c>
      <c r="C190" t="s">
        <v>261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</row>
    <row r="191" spans="1:139" x14ac:dyDescent="0.2">
      <c r="A191">
        <v>49</v>
      </c>
      <c r="B191">
        <v>117.17</v>
      </c>
      <c r="C191" t="s">
        <v>262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1</v>
      </c>
      <c r="AH191">
        <v>0</v>
      </c>
      <c r="AI191">
        <v>0</v>
      </c>
      <c r="AJ191">
        <v>0</v>
      </c>
      <c r="AK191">
        <v>0</v>
      </c>
      <c r="AL191">
        <v>1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</row>
    <row r="192" spans="1:139" x14ac:dyDescent="0.2">
      <c r="A192">
        <v>49</v>
      </c>
      <c r="B192">
        <v>120.14</v>
      </c>
      <c r="C192" t="s">
        <v>263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1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1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</row>
    <row r="193" spans="1:139" x14ac:dyDescent="0.2">
      <c r="A193">
        <v>49</v>
      </c>
      <c r="B193">
        <v>120.17</v>
      </c>
      <c r="C193" t="s">
        <v>206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1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</row>
    <row r="194" spans="1:139" x14ac:dyDescent="0.2">
      <c r="A194">
        <v>50</v>
      </c>
      <c r="B194">
        <v>120.14</v>
      </c>
      <c r="C194" t="s">
        <v>264</v>
      </c>
      <c r="D194">
        <v>0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</row>
    <row r="195" spans="1:139" x14ac:dyDescent="0.2">
      <c r="A195">
        <v>50</v>
      </c>
      <c r="B195" t="s">
        <v>139</v>
      </c>
      <c r="C195" t="s">
        <v>265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</row>
    <row r="196" spans="1:139" x14ac:dyDescent="0.2">
      <c r="A196">
        <v>50</v>
      </c>
      <c r="B196">
        <v>120.17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</row>
    <row r="197" spans="1:139" x14ac:dyDescent="0.2">
      <c r="A197">
        <v>50</v>
      </c>
      <c r="B197">
        <v>117.17</v>
      </c>
      <c r="C197" t="s">
        <v>142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1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</row>
    <row r="198" spans="1:139" x14ac:dyDescent="0.2">
      <c r="A198">
        <v>51</v>
      </c>
      <c r="B198">
        <v>120.17</v>
      </c>
      <c r="C198" t="s">
        <v>164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</row>
    <row r="199" spans="1:139" x14ac:dyDescent="0.2">
      <c r="A199">
        <v>51</v>
      </c>
      <c r="B199">
        <v>120.14</v>
      </c>
      <c r="C199" t="s">
        <v>158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</row>
    <row r="200" spans="1:139" x14ac:dyDescent="0.2">
      <c r="A200">
        <v>51</v>
      </c>
      <c r="B200">
        <v>117.17</v>
      </c>
      <c r="C200" t="s">
        <v>158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1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</row>
    <row r="201" spans="1:139" x14ac:dyDescent="0.2">
      <c r="A201">
        <v>51</v>
      </c>
      <c r="B201" t="s">
        <v>139</v>
      </c>
      <c r="C201" t="s">
        <v>164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</row>
    <row r="202" spans="1:139" x14ac:dyDescent="0.2">
      <c r="A202">
        <v>52</v>
      </c>
      <c r="B202">
        <v>117.17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</row>
    <row r="203" spans="1:139" x14ac:dyDescent="0.2">
      <c r="A203">
        <v>52</v>
      </c>
      <c r="B203">
        <v>120.17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</row>
    <row r="204" spans="1:139" x14ac:dyDescent="0.2">
      <c r="A204">
        <v>52</v>
      </c>
      <c r="B204" t="s">
        <v>139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</row>
    <row r="205" spans="1:139" x14ac:dyDescent="0.2">
      <c r="A205">
        <v>52</v>
      </c>
      <c r="B205">
        <v>120.14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</row>
    <row r="206" spans="1:139" x14ac:dyDescent="0.2">
      <c r="A206">
        <v>53</v>
      </c>
      <c r="B206" t="s">
        <v>139</v>
      </c>
      <c r="C206" t="s">
        <v>266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1</v>
      </c>
      <c r="DM206">
        <v>0</v>
      </c>
      <c r="DN206">
        <v>0</v>
      </c>
      <c r="DO206">
        <v>0</v>
      </c>
      <c r="DP206">
        <v>1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</row>
    <row r="207" spans="1:139" x14ac:dyDescent="0.2">
      <c r="A207">
        <v>53</v>
      </c>
      <c r="B207">
        <v>117.17</v>
      </c>
      <c r="C207" t="s">
        <v>267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1</v>
      </c>
      <c r="AH207">
        <v>0</v>
      </c>
      <c r="AI207">
        <v>0</v>
      </c>
      <c r="AJ207">
        <v>0</v>
      </c>
      <c r="AK207">
        <v>0</v>
      </c>
      <c r="AL207">
        <v>1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</row>
    <row r="208" spans="1:139" x14ac:dyDescent="0.2">
      <c r="A208">
        <v>53</v>
      </c>
      <c r="B208">
        <v>120.14</v>
      </c>
      <c r="C208" t="s">
        <v>268</v>
      </c>
      <c r="D208">
        <v>0</v>
      </c>
      <c r="E208">
        <v>0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</row>
    <row r="209" spans="1:139" x14ac:dyDescent="0.2">
      <c r="A209">
        <v>53</v>
      </c>
      <c r="B209">
        <v>120.17</v>
      </c>
      <c r="C209" t="s">
        <v>269</v>
      </c>
      <c r="D209">
        <v>0</v>
      </c>
      <c r="E209">
        <v>0</v>
      </c>
      <c r="F209">
        <v>1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</row>
    <row r="210" spans="1:139" x14ac:dyDescent="0.2">
      <c r="A210">
        <v>54</v>
      </c>
      <c r="B210">
        <v>120.14</v>
      </c>
      <c r="C210" t="s">
        <v>270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1</v>
      </c>
      <c r="AH210">
        <v>0</v>
      </c>
      <c r="AI210">
        <v>0</v>
      </c>
      <c r="AJ210">
        <v>0</v>
      </c>
      <c r="AK210">
        <v>0</v>
      </c>
      <c r="AL210">
        <v>1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1</v>
      </c>
      <c r="DM210">
        <v>0</v>
      </c>
      <c r="DN210">
        <v>0</v>
      </c>
      <c r="DO210">
        <v>0</v>
      </c>
      <c r="DP210">
        <v>1</v>
      </c>
      <c r="DQ210">
        <v>0</v>
      </c>
      <c r="DR210">
        <v>0</v>
      </c>
      <c r="DS210">
        <v>1</v>
      </c>
      <c r="DT210">
        <v>0</v>
      </c>
      <c r="DU210">
        <v>0</v>
      </c>
      <c r="DV210">
        <v>1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</row>
    <row r="211" spans="1:139" x14ac:dyDescent="0.2">
      <c r="A211">
        <v>54</v>
      </c>
      <c r="B211" t="s">
        <v>139</v>
      </c>
      <c r="C211" t="s">
        <v>271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1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1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1</v>
      </c>
      <c r="DF211">
        <v>0</v>
      </c>
      <c r="DG211">
        <v>1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</row>
    <row r="212" spans="1:139" x14ac:dyDescent="0.2">
      <c r="A212">
        <v>54</v>
      </c>
      <c r="B212">
        <v>120.17</v>
      </c>
      <c r="C212" t="s">
        <v>272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</v>
      </c>
      <c r="Y212">
        <v>0</v>
      </c>
      <c r="Z212">
        <v>0</v>
      </c>
      <c r="AA212">
        <v>1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1</v>
      </c>
      <c r="CR212">
        <v>1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</row>
    <row r="213" spans="1:139" x14ac:dyDescent="0.2">
      <c r="A213">
        <v>54</v>
      </c>
      <c r="B213">
        <v>117.17</v>
      </c>
      <c r="C213" t="s">
        <v>273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1</v>
      </c>
      <c r="AH213">
        <v>0</v>
      </c>
      <c r="AI213">
        <v>0</v>
      </c>
      <c r="AJ213">
        <v>0</v>
      </c>
      <c r="AK213">
        <v>0</v>
      </c>
      <c r="AL213">
        <v>1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1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</row>
    <row r="214" spans="1:139" x14ac:dyDescent="0.2">
      <c r="A214">
        <v>55</v>
      </c>
      <c r="B214">
        <v>120.17</v>
      </c>
      <c r="C214" t="s">
        <v>164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</row>
    <row r="215" spans="1:139" x14ac:dyDescent="0.2">
      <c r="A215">
        <v>55</v>
      </c>
      <c r="B215">
        <v>120.14</v>
      </c>
      <c r="C215" t="s">
        <v>274</v>
      </c>
      <c r="D215">
        <v>0</v>
      </c>
      <c r="E215">
        <v>0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</row>
    <row r="216" spans="1:139" x14ac:dyDescent="0.2">
      <c r="A216">
        <v>55</v>
      </c>
      <c r="B216">
        <v>117.17</v>
      </c>
      <c r="C216" t="s">
        <v>232</v>
      </c>
      <c r="D216">
        <v>0</v>
      </c>
      <c r="E216">
        <v>0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1</v>
      </c>
      <c r="Z216">
        <v>0</v>
      </c>
      <c r="AA216">
        <v>1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</row>
    <row r="217" spans="1:139" x14ac:dyDescent="0.2">
      <c r="A217">
        <v>55</v>
      </c>
      <c r="B217" t="s">
        <v>139</v>
      </c>
      <c r="C217" t="s">
        <v>275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1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</row>
    <row r="218" spans="1:139" x14ac:dyDescent="0.2">
      <c r="A218">
        <v>56</v>
      </c>
      <c r="B218">
        <v>117.17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</row>
    <row r="219" spans="1:139" x14ac:dyDescent="0.2">
      <c r="A219">
        <v>56</v>
      </c>
      <c r="B219">
        <v>120.17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</row>
    <row r="220" spans="1:139" x14ac:dyDescent="0.2">
      <c r="A220">
        <v>56</v>
      </c>
      <c r="B220" t="s">
        <v>139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</row>
    <row r="221" spans="1:139" x14ac:dyDescent="0.2">
      <c r="A221">
        <v>56</v>
      </c>
      <c r="B221">
        <v>120.14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</row>
    <row r="222" spans="1:139" x14ac:dyDescent="0.2">
      <c r="A222">
        <v>57</v>
      </c>
      <c r="B222" t="s">
        <v>139</v>
      </c>
      <c r="C222" t="s">
        <v>164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</row>
    <row r="223" spans="1:139" x14ac:dyDescent="0.2">
      <c r="A223">
        <v>57</v>
      </c>
      <c r="B223">
        <v>117.17</v>
      </c>
      <c r="C223" t="s">
        <v>276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1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</row>
    <row r="224" spans="1:139" x14ac:dyDescent="0.2">
      <c r="A224">
        <v>57</v>
      </c>
      <c r="B224">
        <v>120.14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</row>
    <row r="225" spans="1:139" x14ac:dyDescent="0.2">
      <c r="A225">
        <v>57</v>
      </c>
      <c r="B225">
        <v>120.17</v>
      </c>
      <c r="C225" t="s">
        <v>164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</row>
    <row r="226" spans="1:139" x14ac:dyDescent="0.2">
      <c r="A226">
        <v>58</v>
      </c>
      <c r="B226">
        <v>120.14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</row>
    <row r="227" spans="1:139" x14ac:dyDescent="0.2">
      <c r="A227">
        <v>58</v>
      </c>
      <c r="B227" t="s">
        <v>139</v>
      </c>
      <c r="C227" t="s">
        <v>190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</row>
    <row r="228" spans="1:139" x14ac:dyDescent="0.2">
      <c r="A228">
        <v>58</v>
      </c>
      <c r="B228">
        <v>120.17</v>
      </c>
      <c r="C228" t="s">
        <v>158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1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</row>
    <row r="229" spans="1:139" x14ac:dyDescent="0.2">
      <c r="A229">
        <v>58</v>
      </c>
      <c r="B229">
        <v>117.17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</row>
    <row r="230" spans="1:139" x14ac:dyDescent="0.2">
      <c r="A230">
        <v>59</v>
      </c>
      <c r="B230">
        <v>120.17</v>
      </c>
      <c r="C230" t="s">
        <v>164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</row>
    <row r="231" spans="1:139" x14ac:dyDescent="0.2">
      <c r="A231">
        <v>59</v>
      </c>
      <c r="B231">
        <v>120.14</v>
      </c>
      <c r="C231" t="s">
        <v>277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1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1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</row>
    <row r="232" spans="1:139" x14ac:dyDescent="0.2">
      <c r="A232">
        <v>59</v>
      </c>
      <c r="B232">
        <v>117.17</v>
      </c>
      <c r="C232" t="s">
        <v>278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</row>
    <row r="233" spans="1:139" x14ac:dyDescent="0.2">
      <c r="A233">
        <v>59</v>
      </c>
      <c r="B233" t="s">
        <v>139</v>
      </c>
      <c r="C233" t="s">
        <v>279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1</v>
      </c>
      <c r="BH233">
        <v>0</v>
      </c>
      <c r="BI233">
        <v>0</v>
      </c>
      <c r="BJ233">
        <v>0</v>
      </c>
      <c r="BK233">
        <v>0</v>
      </c>
      <c r="BL233">
        <v>1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</row>
    <row r="234" spans="1:139" x14ac:dyDescent="0.2">
      <c r="A234">
        <v>60</v>
      </c>
      <c r="B234">
        <v>117.17</v>
      </c>
      <c r="C234" t="s">
        <v>280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1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1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</row>
    <row r="235" spans="1:139" x14ac:dyDescent="0.2">
      <c r="A235">
        <v>60</v>
      </c>
      <c r="B235">
        <v>120.17</v>
      </c>
      <c r="C235" t="s">
        <v>281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1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1</v>
      </c>
      <c r="EF235">
        <v>0</v>
      </c>
      <c r="EG235">
        <v>0</v>
      </c>
      <c r="EH235">
        <v>0</v>
      </c>
      <c r="EI235">
        <v>0</v>
      </c>
    </row>
    <row r="236" spans="1:139" x14ac:dyDescent="0.2">
      <c r="A236">
        <v>60</v>
      </c>
      <c r="B236" t="s">
        <v>139</v>
      </c>
      <c r="C236" t="s">
        <v>282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1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</row>
    <row r="237" spans="1:139" x14ac:dyDescent="0.2">
      <c r="A237">
        <v>60</v>
      </c>
      <c r="B237">
        <v>120.14</v>
      </c>
      <c r="C237" t="s">
        <v>283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1</v>
      </c>
      <c r="EF237">
        <v>0</v>
      </c>
      <c r="EG237">
        <v>0</v>
      </c>
      <c r="EH237">
        <v>0</v>
      </c>
      <c r="EI237">
        <v>0</v>
      </c>
    </row>
    <row r="238" spans="1:139" x14ac:dyDescent="0.2">
      <c r="A238">
        <v>61</v>
      </c>
      <c r="B238" t="s">
        <v>139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</row>
    <row r="239" spans="1:139" x14ac:dyDescent="0.2">
      <c r="A239">
        <v>61</v>
      </c>
      <c r="B239">
        <v>117.17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</row>
    <row r="240" spans="1:139" x14ac:dyDescent="0.2">
      <c r="A240">
        <v>61</v>
      </c>
      <c r="B240">
        <v>120.14</v>
      </c>
      <c r="C240" t="s">
        <v>164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</row>
    <row r="241" spans="1:139" x14ac:dyDescent="0.2">
      <c r="A241">
        <v>61</v>
      </c>
      <c r="B241">
        <v>120.17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</row>
    <row r="242" spans="1:139" x14ac:dyDescent="0.2">
      <c r="A242">
        <v>62</v>
      </c>
      <c r="B242">
        <v>120.14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</row>
    <row r="243" spans="1:139" x14ac:dyDescent="0.2">
      <c r="A243">
        <v>62</v>
      </c>
      <c r="B243" t="s">
        <v>139</v>
      </c>
      <c r="C243" t="s">
        <v>164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</row>
    <row r="244" spans="1:139" x14ac:dyDescent="0.2">
      <c r="A244">
        <v>62</v>
      </c>
      <c r="B244">
        <v>120.17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</row>
    <row r="245" spans="1:139" x14ac:dyDescent="0.2">
      <c r="A245">
        <v>62</v>
      </c>
      <c r="B245">
        <v>117.17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</row>
    <row r="246" spans="1:139" x14ac:dyDescent="0.2">
      <c r="A246">
        <v>63</v>
      </c>
      <c r="B246">
        <v>120.17</v>
      </c>
      <c r="C246" t="s">
        <v>284</v>
      </c>
      <c r="D246">
        <v>0</v>
      </c>
      <c r="E246">
        <v>0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</row>
    <row r="247" spans="1:139" x14ac:dyDescent="0.2">
      <c r="A247">
        <v>63</v>
      </c>
      <c r="B247">
        <v>120.14</v>
      </c>
      <c r="C247" t="s">
        <v>285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1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</row>
    <row r="248" spans="1:139" x14ac:dyDescent="0.2">
      <c r="A248">
        <v>63</v>
      </c>
      <c r="B248">
        <v>117.17</v>
      </c>
      <c r="C248" t="s">
        <v>286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1</v>
      </c>
      <c r="AP248">
        <v>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</row>
    <row r="249" spans="1:139" x14ac:dyDescent="0.2">
      <c r="A249">
        <v>63</v>
      </c>
      <c r="B249" t="s">
        <v>139</v>
      </c>
      <c r="C249" t="s">
        <v>164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</row>
    <row r="250" spans="1:139" x14ac:dyDescent="0.2">
      <c r="A250">
        <v>65</v>
      </c>
      <c r="B250" t="s">
        <v>139</v>
      </c>
      <c r="C250" t="s">
        <v>287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1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1</v>
      </c>
      <c r="AH250">
        <v>0</v>
      </c>
      <c r="AI250">
        <v>0</v>
      </c>
      <c r="AJ250">
        <v>0</v>
      </c>
      <c r="AK250">
        <v>0</v>
      </c>
      <c r="AL250">
        <v>1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1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1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</row>
    <row r="251" spans="1:139" x14ac:dyDescent="0.2">
      <c r="A251">
        <v>65</v>
      </c>
      <c r="B251">
        <v>117.17</v>
      </c>
      <c r="C251" t="s">
        <v>288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1</v>
      </c>
      <c r="AH251">
        <v>0</v>
      </c>
      <c r="AI251">
        <v>0</v>
      </c>
      <c r="AJ251">
        <v>0</v>
      </c>
      <c r="AK251">
        <v>0</v>
      </c>
      <c r="AL251">
        <v>1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1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</row>
    <row r="252" spans="1:139" x14ac:dyDescent="0.2">
      <c r="A252">
        <v>65</v>
      </c>
      <c r="B252">
        <v>120.14</v>
      </c>
      <c r="C252" t="s">
        <v>289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1</v>
      </c>
      <c r="AH252">
        <v>0</v>
      </c>
      <c r="AI252">
        <v>0</v>
      </c>
      <c r="AJ252">
        <v>0</v>
      </c>
      <c r="AK252">
        <v>0</v>
      </c>
      <c r="AL252">
        <v>1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1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</row>
    <row r="253" spans="1:139" x14ac:dyDescent="0.2">
      <c r="A253">
        <v>65</v>
      </c>
      <c r="B253">
        <v>120.17</v>
      </c>
      <c r="C253" t="s">
        <v>290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1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</row>
    <row r="254" spans="1:139" x14ac:dyDescent="0.2">
      <c r="A254">
        <v>66</v>
      </c>
      <c r="B254">
        <v>120.14</v>
      </c>
      <c r="C254" t="s">
        <v>291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</row>
    <row r="255" spans="1:139" x14ac:dyDescent="0.2">
      <c r="A255">
        <v>66</v>
      </c>
      <c r="B255" t="s">
        <v>139</v>
      </c>
      <c r="C255" t="s">
        <v>292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</row>
    <row r="256" spans="1:139" x14ac:dyDescent="0.2">
      <c r="A256">
        <v>66</v>
      </c>
      <c r="B256">
        <v>120.17</v>
      </c>
      <c r="C256" t="s">
        <v>293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1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</row>
    <row r="257" spans="1:139" x14ac:dyDescent="0.2">
      <c r="A257">
        <v>66</v>
      </c>
      <c r="B257">
        <v>117.17</v>
      </c>
      <c r="C257" t="s">
        <v>283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1</v>
      </c>
      <c r="EF257">
        <v>0</v>
      </c>
      <c r="EG257">
        <v>0</v>
      </c>
      <c r="EH257">
        <v>0</v>
      </c>
      <c r="EI257">
        <v>0</v>
      </c>
    </row>
    <row r="258" spans="1:139" x14ac:dyDescent="0.2">
      <c r="A258">
        <v>67</v>
      </c>
      <c r="B258">
        <v>120.17</v>
      </c>
      <c r="C258" t="s">
        <v>294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1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1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</row>
    <row r="259" spans="1:139" x14ac:dyDescent="0.2">
      <c r="A259">
        <v>67</v>
      </c>
      <c r="B259">
        <v>120.14</v>
      </c>
      <c r="C259" t="s">
        <v>295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1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</row>
    <row r="260" spans="1:139" x14ac:dyDescent="0.2">
      <c r="A260">
        <v>67</v>
      </c>
      <c r="B260">
        <v>117.17</v>
      </c>
      <c r="C260" t="s">
        <v>296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1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</row>
    <row r="261" spans="1:139" x14ac:dyDescent="0.2">
      <c r="A261">
        <v>67</v>
      </c>
      <c r="B261" t="s">
        <v>139</v>
      </c>
      <c r="C261" t="s">
        <v>297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1</v>
      </c>
      <c r="EF261">
        <v>0</v>
      </c>
      <c r="EG261">
        <v>0</v>
      </c>
      <c r="EH261">
        <v>0</v>
      </c>
      <c r="EI261">
        <v>0</v>
      </c>
    </row>
    <row r="262" spans="1:139" x14ac:dyDescent="0.2">
      <c r="A262">
        <v>70</v>
      </c>
      <c r="B262">
        <v>120.14</v>
      </c>
      <c r="C262" t="s">
        <v>164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</row>
    <row r="263" spans="1:139" x14ac:dyDescent="0.2">
      <c r="A263">
        <v>70</v>
      </c>
      <c r="B263" t="s">
        <v>139</v>
      </c>
      <c r="C263" t="s">
        <v>149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1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</row>
    <row r="264" spans="1:139" x14ac:dyDescent="0.2">
      <c r="A264">
        <v>70</v>
      </c>
      <c r="B264">
        <v>120.17</v>
      </c>
      <c r="C264" t="s">
        <v>298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1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1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</row>
    <row r="265" spans="1:139" x14ac:dyDescent="0.2">
      <c r="A265">
        <v>70</v>
      </c>
      <c r="B265">
        <v>117.17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</row>
    <row r="266" spans="1:139" x14ac:dyDescent="0.2">
      <c r="A266">
        <v>71</v>
      </c>
      <c r="B266">
        <v>120.17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</row>
    <row r="267" spans="1:139" x14ac:dyDescent="0.2">
      <c r="A267">
        <v>71</v>
      </c>
      <c r="B267">
        <v>120.14</v>
      </c>
      <c r="C267" t="s">
        <v>299</v>
      </c>
      <c r="D267">
        <v>0</v>
      </c>
      <c r="E267">
        <v>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1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1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</row>
    <row r="268" spans="1:139" x14ac:dyDescent="0.2">
      <c r="A268">
        <v>71</v>
      </c>
      <c r="B268">
        <v>117.17</v>
      </c>
      <c r="C268" t="s">
        <v>142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1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</row>
    <row r="269" spans="1:139" x14ac:dyDescent="0.2">
      <c r="A269">
        <v>71</v>
      </c>
      <c r="B269" t="s">
        <v>139</v>
      </c>
      <c r="C269" t="s">
        <v>176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1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</row>
    <row r="270" spans="1:139" x14ac:dyDescent="0.2">
      <c r="A270">
        <v>72</v>
      </c>
      <c r="B270">
        <v>117.17</v>
      </c>
      <c r="C270" t="s">
        <v>300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1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1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1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</row>
    <row r="271" spans="1:139" x14ac:dyDescent="0.2">
      <c r="A271">
        <v>72</v>
      </c>
      <c r="B271">
        <v>120.17</v>
      </c>
      <c r="C271" t="s">
        <v>301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1</v>
      </c>
      <c r="AH271">
        <v>0</v>
      </c>
      <c r="AI271">
        <v>0</v>
      </c>
      <c r="AJ271">
        <v>0</v>
      </c>
      <c r="AK271">
        <v>0</v>
      </c>
      <c r="AL271">
        <v>1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</row>
    <row r="272" spans="1:139" x14ac:dyDescent="0.2">
      <c r="A272">
        <v>72</v>
      </c>
      <c r="B272" t="s">
        <v>139</v>
      </c>
      <c r="C272" t="s">
        <v>302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1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1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1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</row>
    <row r="273" spans="1:139" x14ac:dyDescent="0.2">
      <c r="A273">
        <v>72</v>
      </c>
      <c r="B273">
        <v>120.14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</row>
    <row r="274" spans="1:139" x14ac:dyDescent="0.2">
      <c r="A274">
        <v>73</v>
      </c>
      <c r="B274" t="s">
        <v>139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</row>
    <row r="275" spans="1:139" x14ac:dyDescent="0.2">
      <c r="A275">
        <v>73</v>
      </c>
      <c r="B275">
        <v>117.17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</row>
    <row r="276" spans="1:139" x14ac:dyDescent="0.2">
      <c r="A276">
        <v>73</v>
      </c>
      <c r="B276">
        <v>120.14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</row>
    <row r="277" spans="1:139" x14ac:dyDescent="0.2">
      <c r="A277">
        <v>73</v>
      </c>
      <c r="B277">
        <v>120.17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</row>
    <row r="278" spans="1:139" x14ac:dyDescent="0.2">
      <c r="A278">
        <v>74</v>
      </c>
      <c r="B278">
        <v>120.14</v>
      </c>
      <c r="C278" t="s">
        <v>164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</row>
    <row r="279" spans="1:139" x14ac:dyDescent="0.2">
      <c r="A279">
        <v>74</v>
      </c>
      <c r="B279" t="s">
        <v>139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</row>
    <row r="280" spans="1:139" x14ac:dyDescent="0.2">
      <c r="A280">
        <v>74</v>
      </c>
      <c r="B280">
        <v>120.17</v>
      </c>
      <c r="C280" t="s">
        <v>163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</row>
    <row r="281" spans="1:139" x14ac:dyDescent="0.2">
      <c r="A281">
        <v>74</v>
      </c>
      <c r="B281">
        <v>117.17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</row>
    <row r="282" spans="1:139" x14ac:dyDescent="0.2">
      <c r="A282">
        <v>75</v>
      </c>
      <c r="B282">
        <v>120.17</v>
      </c>
      <c r="C282" t="s">
        <v>303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1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1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</row>
    <row r="283" spans="1:139" x14ac:dyDescent="0.2">
      <c r="A283">
        <v>75</v>
      </c>
      <c r="B283">
        <v>120.14</v>
      </c>
      <c r="C283" t="s">
        <v>304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0</v>
      </c>
      <c r="AA283">
        <v>1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1</v>
      </c>
      <c r="BH283">
        <v>1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1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1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</row>
    <row r="284" spans="1:139" x14ac:dyDescent="0.2">
      <c r="A284">
        <v>75</v>
      </c>
      <c r="B284">
        <v>117.17</v>
      </c>
      <c r="C284" t="s">
        <v>22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1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</row>
    <row r="285" spans="1:139" x14ac:dyDescent="0.2">
      <c r="A285">
        <v>75</v>
      </c>
      <c r="B285" t="s">
        <v>139</v>
      </c>
      <c r="C285" t="s">
        <v>305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1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1</v>
      </c>
      <c r="AH285">
        <v>0</v>
      </c>
      <c r="AI285">
        <v>0</v>
      </c>
      <c r="AJ285">
        <v>0</v>
      </c>
      <c r="AK285">
        <v>0</v>
      </c>
      <c r="AL285">
        <v>1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1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</row>
    <row r="286" spans="1:139" x14ac:dyDescent="0.2">
      <c r="A286">
        <v>76</v>
      </c>
      <c r="B286">
        <v>117.17</v>
      </c>
      <c r="C286" t="s">
        <v>306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1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</row>
    <row r="287" spans="1:139" x14ac:dyDescent="0.2">
      <c r="A287">
        <v>76</v>
      </c>
      <c r="B287">
        <v>120.17</v>
      </c>
      <c r="C287" t="s">
        <v>307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1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</row>
    <row r="288" spans="1:139" x14ac:dyDescent="0.2">
      <c r="A288">
        <v>76</v>
      </c>
      <c r="B288" t="s">
        <v>139</v>
      </c>
      <c r="C288" t="s">
        <v>308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1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</row>
    <row r="289" spans="1:139" x14ac:dyDescent="0.2">
      <c r="A289">
        <v>76</v>
      </c>
      <c r="B289">
        <v>120.14</v>
      </c>
      <c r="C289" t="s">
        <v>173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1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</row>
    <row r="290" spans="1:139" x14ac:dyDescent="0.2">
      <c r="A290">
        <v>77</v>
      </c>
      <c r="B290" t="s">
        <v>139</v>
      </c>
      <c r="C290" t="s">
        <v>174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1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</row>
    <row r="291" spans="1:139" x14ac:dyDescent="0.2">
      <c r="A291">
        <v>77</v>
      </c>
      <c r="B291">
        <v>117.17</v>
      </c>
      <c r="C291" t="s">
        <v>309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1</v>
      </c>
      <c r="BH291">
        <v>1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</row>
    <row r="292" spans="1:139" x14ac:dyDescent="0.2">
      <c r="A292">
        <v>77</v>
      </c>
      <c r="B292">
        <v>120.14</v>
      </c>
      <c r="C292" t="s">
        <v>310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1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1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1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</row>
    <row r="293" spans="1:139" x14ac:dyDescent="0.2">
      <c r="A293">
        <v>77</v>
      </c>
      <c r="B293">
        <v>120.17</v>
      </c>
      <c r="C293" t="s">
        <v>311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1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</row>
    <row r="294" spans="1:139" x14ac:dyDescent="0.2">
      <c r="A294">
        <v>82</v>
      </c>
      <c r="B294" t="s">
        <v>139</v>
      </c>
      <c r="C294" t="s">
        <v>312</v>
      </c>
      <c r="D294">
        <v>0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1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1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1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</row>
    <row r="295" spans="1:139" x14ac:dyDescent="0.2">
      <c r="A295">
        <v>82</v>
      </c>
      <c r="B295">
        <v>120.17</v>
      </c>
      <c r="C295" t="s">
        <v>313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1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1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</row>
    <row r="296" spans="1:139" x14ac:dyDescent="0.2">
      <c r="A296">
        <v>82</v>
      </c>
      <c r="B296">
        <v>120.14</v>
      </c>
      <c r="C296" t="s">
        <v>314</v>
      </c>
      <c r="D296">
        <v>0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1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</row>
    <row r="297" spans="1:139" x14ac:dyDescent="0.2">
      <c r="A297">
        <v>82</v>
      </c>
      <c r="B297">
        <v>117.17</v>
      </c>
      <c r="C297" t="s">
        <v>315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1</v>
      </c>
      <c r="EF297">
        <v>0</v>
      </c>
      <c r="EG297">
        <v>0</v>
      </c>
      <c r="EH297">
        <v>0</v>
      </c>
      <c r="EI297">
        <v>0</v>
      </c>
    </row>
    <row r="298" spans="1:139" x14ac:dyDescent="0.2">
      <c r="A298">
        <v>83</v>
      </c>
      <c r="B298" t="s">
        <v>139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</row>
    <row r="299" spans="1:139" x14ac:dyDescent="0.2">
      <c r="A299">
        <v>83</v>
      </c>
      <c r="B299">
        <v>120.14</v>
      </c>
      <c r="C299" t="s">
        <v>316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</v>
      </c>
      <c r="Z299">
        <v>0</v>
      </c>
      <c r="AA299">
        <v>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</row>
    <row r="300" spans="1:139" x14ac:dyDescent="0.2">
      <c r="A300">
        <v>83</v>
      </c>
      <c r="B300">
        <v>117.17</v>
      </c>
      <c r="C300" t="s">
        <v>317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1</v>
      </c>
      <c r="AH300">
        <v>0</v>
      </c>
      <c r="AI300">
        <v>0</v>
      </c>
      <c r="AJ300">
        <v>0</v>
      </c>
      <c r="AK300">
        <v>0</v>
      </c>
      <c r="AL300">
        <v>1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</row>
    <row r="301" spans="1:139" x14ac:dyDescent="0.2">
      <c r="A301">
        <v>83</v>
      </c>
      <c r="B301">
        <v>120.17</v>
      </c>
      <c r="C301" t="s">
        <v>164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</row>
    <row r="302" spans="1:139" x14ac:dyDescent="0.2">
      <c r="A302">
        <v>84</v>
      </c>
      <c r="B302">
        <v>117.17</v>
      </c>
      <c r="C302" t="s">
        <v>234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1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</row>
    <row r="303" spans="1:139" x14ac:dyDescent="0.2">
      <c r="A303">
        <v>84</v>
      </c>
      <c r="B303">
        <v>120.17</v>
      </c>
      <c r="C303" t="s">
        <v>318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1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1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</row>
    <row r="304" spans="1:139" x14ac:dyDescent="0.2">
      <c r="A304">
        <v>84</v>
      </c>
      <c r="B304" t="s">
        <v>139</v>
      </c>
      <c r="C304" t="s">
        <v>164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</row>
    <row r="305" spans="1:139" x14ac:dyDescent="0.2">
      <c r="A305">
        <v>84</v>
      </c>
      <c r="B305">
        <v>120.14</v>
      </c>
      <c r="C305" t="s">
        <v>319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1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</row>
    <row r="306" spans="1:139" x14ac:dyDescent="0.2">
      <c r="A306">
        <v>87</v>
      </c>
      <c r="B306">
        <v>120.17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</row>
    <row r="307" spans="1:139" x14ac:dyDescent="0.2">
      <c r="A307">
        <v>87</v>
      </c>
      <c r="B307">
        <v>120.14</v>
      </c>
      <c r="C307" t="s">
        <v>158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1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</row>
    <row r="308" spans="1:139" x14ac:dyDescent="0.2">
      <c r="A308">
        <v>87</v>
      </c>
      <c r="B308">
        <v>117.17</v>
      </c>
      <c r="C308" t="s">
        <v>320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1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1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</row>
    <row r="309" spans="1:139" x14ac:dyDescent="0.2">
      <c r="A309">
        <v>87</v>
      </c>
      <c r="B309" t="s">
        <v>139</v>
      </c>
      <c r="C309" t="s">
        <v>174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1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</row>
    <row r="310" spans="1:139" x14ac:dyDescent="0.2">
      <c r="A310">
        <v>89</v>
      </c>
      <c r="B310" t="s">
        <v>139</v>
      </c>
      <c r="C310" t="s">
        <v>321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1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1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</row>
    <row r="311" spans="1:139" x14ac:dyDescent="0.2">
      <c r="A311">
        <v>89</v>
      </c>
      <c r="B311">
        <v>117.17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</row>
    <row r="312" spans="1:139" x14ac:dyDescent="0.2">
      <c r="A312">
        <v>89</v>
      </c>
      <c r="B312">
        <v>120.14</v>
      </c>
      <c r="C312" t="s">
        <v>322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1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1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1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</row>
    <row r="313" spans="1:139" x14ac:dyDescent="0.2">
      <c r="A313">
        <v>89</v>
      </c>
      <c r="B313">
        <v>120.17</v>
      </c>
      <c r="C313" t="s">
        <v>323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1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1</v>
      </c>
      <c r="BH313">
        <v>1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1</v>
      </c>
      <c r="CD313">
        <v>0</v>
      </c>
      <c r="CE313">
        <v>0</v>
      </c>
      <c r="CF313">
        <v>1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1</v>
      </c>
      <c r="EI313">
        <v>0</v>
      </c>
    </row>
    <row r="314" spans="1:139" x14ac:dyDescent="0.2">
      <c r="A314">
        <v>90</v>
      </c>
      <c r="B314">
        <v>120.14</v>
      </c>
      <c r="C314" t="s">
        <v>324</v>
      </c>
      <c r="D314">
        <v>0</v>
      </c>
      <c r="E314">
        <v>0</v>
      </c>
      <c r="F314">
        <v>0</v>
      </c>
      <c r="G314">
        <v>0</v>
      </c>
      <c r="H314">
        <v>1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1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1</v>
      </c>
      <c r="EF314">
        <v>0</v>
      </c>
      <c r="EG314">
        <v>0</v>
      </c>
      <c r="EH314">
        <v>0</v>
      </c>
      <c r="EI314">
        <v>0</v>
      </c>
    </row>
    <row r="315" spans="1:139" x14ac:dyDescent="0.2">
      <c r="A315">
        <v>90</v>
      </c>
      <c r="B315" t="s">
        <v>139</v>
      </c>
      <c r="C315" t="s">
        <v>325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1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</row>
    <row r="316" spans="1:139" x14ac:dyDescent="0.2">
      <c r="A316">
        <v>90</v>
      </c>
      <c r="B316">
        <v>120.17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</row>
    <row r="317" spans="1:139" x14ac:dyDescent="0.2">
      <c r="A317">
        <v>90</v>
      </c>
      <c r="B317">
        <v>117.17</v>
      </c>
      <c r="C317" t="s">
        <v>326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1</v>
      </c>
      <c r="AH317">
        <v>0</v>
      </c>
      <c r="AI317">
        <v>0</v>
      </c>
      <c r="AJ317">
        <v>0</v>
      </c>
      <c r="AK317">
        <v>0</v>
      </c>
      <c r="AL317">
        <v>1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</row>
    <row r="318" spans="1:139" x14ac:dyDescent="0.2">
      <c r="A318">
        <v>93</v>
      </c>
      <c r="B318" t="s">
        <v>139</v>
      </c>
      <c r="C318" t="s">
        <v>221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</row>
    <row r="319" spans="1:139" x14ac:dyDescent="0.2">
      <c r="A319">
        <v>93</v>
      </c>
      <c r="B319">
        <v>117.17</v>
      </c>
      <c r="C319" t="s">
        <v>327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</row>
    <row r="320" spans="1:139" x14ac:dyDescent="0.2">
      <c r="A320">
        <v>93</v>
      </c>
      <c r="B320">
        <v>120.14</v>
      </c>
      <c r="C320" t="s">
        <v>328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1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1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</row>
    <row r="321" spans="1:139" x14ac:dyDescent="0.2">
      <c r="A321">
        <v>93</v>
      </c>
      <c r="B321">
        <v>120.17</v>
      </c>
      <c r="C321" t="s">
        <v>329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1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</row>
    <row r="322" spans="1:139" x14ac:dyDescent="0.2">
      <c r="A322">
        <v>94</v>
      </c>
      <c r="B322">
        <v>120.14</v>
      </c>
      <c r="C322" t="s">
        <v>319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1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</row>
    <row r="323" spans="1:139" x14ac:dyDescent="0.2">
      <c r="A323">
        <v>94</v>
      </c>
      <c r="B323" t="s">
        <v>139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</row>
    <row r="324" spans="1:139" x14ac:dyDescent="0.2">
      <c r="A324">
        <v>94</v>
      </c>
      <c r="B324">
        <v>120.17</v>
      </c>
      <c r="C324" t="s">
        <v>330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1</v>
      </c>
      <c r="AP324">
        <v>0</v>
      </c>
      <c r="AQ324">
        <v>1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</row>
    <row r="325" spans="1:139" x14ac:dyDescent="0.2">
      <c r="A325">
        <v>94</v>
      </c>
      <c r="B325">
        <v>117.17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</row>
    <row r="326" spans="1:139" x14ac:dyDescent="0.2">
      <c r="A326">
        <v>95</v>
      </c>
      <c r="B326">
        <v>120.17</v>
      </c>
      <c r="C326" t="s">
        <v>187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1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</row>
    <row r="327" spans="1:139" x14ac:dyDescent="0.2">
      <c r="A327">
        <v>95</v>
      </c>
      <c r="B327">
        <v>120.14</v>
      </c>
      <c r="C327" t="s">
        <v>331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1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</row>
    <row r="328" spans="1:139" x14ac:dyDescent="0.2">
      <c r="A328">
        <v>95</v>
      </c>
      <c r="B328">
        <v>117.17</v>
      </c>
      <c r="C328" t="s">
        <v>332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</row>
    <row r="329" spans="1:139" x14ac:dyDescent="0.2">
      <c r="A329">
        <v>95</v>
      </c>
      <c r="B329" t="s">
        <v>139</v>
      </c>
      <c r="C329" t="s">
        <v>333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0</v>
      </c>
      <c r="AA329">
        <v>1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1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</row>
    <row r="330" spans="1:139" x14ac:dyDescent="0.2">
      <c r="A330">
        <v>96</v>
      </c>
      <c r="B330">
        <v>117.17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</row>
    <row r="331" spans="1:139" x14ac:dyDescent="0.2">
      <c r="A331">
        <v>96</v>
      </c>
      <c r="B331">
        <v>120.17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</row>
    <row r="332" spans="1:139" x14ac:dyDescent="0.2">
      <c r="A332">
        <v>96</v>
      </c>
      <c r="B332" t="s">
        <v>139</v>
      </c>
      <c r="C332" t="s">
        <v>334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1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0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</row>
    <row r="333" spans="1:139" x14ac:dyDescent="0.2">
      <c r="A333">
        <v>96</v>
      </c>
      <c r="B333">
        <v>120.14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</row>
    <row r="334" spans="1:139" x14ac:dyDescent="0.2">
      <c r="A334">
        <v>97</v>
      </c>
      <c r="B334" t="s">
        <v>139</v>
      </c>
      <c r="C334" t="s">
        <v>335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1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</row>
    <row r="335" spans="1:139" x14ac:dyDescent="0.2">
      <c r="A335">
        <v>97</v>
      </c>
      <c r="B335">
        <v>117.17</v>
      </c>
      <c r="C335" t="s">
        <v>164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</row>
    <row r="336" spans="1:139" x14ac:dyDescent="0.2">
      <c r="A336">
        <v>97</v>
      </c>
      <c r="B336">
        <v>120.14</v>
      </c>
      <c r="C336" t="s">
        <v>164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</row>
    <row r="337" spans="1:139" x14ac:dyDescent="0.2">
      <c r="A337">
        <v>97</v>
      </c>
      <c r="B337">
        <v>120.17</v>
      </c>
      <c r="C337" t="s">
        <v>164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</row>
    <row r="338" spans="1:139" x14ac:dyDescent="0.2">
      <c r="A338">
        <v>98</v>
      </c>
      <c r="B338">
        <v>120.14</v>
      </c>
      <c r="C338" t="s">
        <v>336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1</v>
      </c>
      <c r="AH338">
        <v>1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1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1</v>
      </c>
      <c r="CD338">
        <v>0</v>
      </c>
      <c r="CE338">
        <v>1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</row>
    <row r="339" spans="1:139" x14ac:dyDescent="0.2">
      <c r="A339">
        <v>98</v>
      </c>
      <c r="B339" t="s">
        <v>139</v>
      </c>
      <c r="C339" t="s">
        <v>337</v>
      </c>
      <c r="D339">
        <v>0</v>
      </c>
      <c r="E339">
        <v>0</v>
      </c>
      <c r="F339">
        <v>1</v>
      </c>
      <c r="G339">
        <v>0</v>
      </c>
      <c r="H339">
        <v>1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1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1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1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1</v>
      </c>
      <c r="DA339">
        <v>0</v>
      </c>
      <c r="DB339">
        <v>0</v>
      </c>
      <c r="DC339">
        <v>0</v>
      </c>
      <c r="DD339">
        <v>0</v>
      </c>
      <c r="DE339">
        <v>1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1</v>
      </c>
      <c r="DT339">
        <v>0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</row>
    <row r="340" spans="1:139" x14ac:dyDescent="0.2">
      <c r="A340">
        <v>98</v>
      </c>
      <c r="B340">
        <v>120.17</v>
      </c>
      <c r="C340" t="s">
        <v>338</v>
      </c>
      <c r="D340">
        <v>0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0</v>
      </c>
      <c r="W340">
        <v>0</v>
      </c>
      <c r="X340">
        <v>0</v>
      </c>
      <c r="Y340">
        <v>1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1</v>
      </c>
      <c r="BA340">
        <v>0</v>
      </c>
      <c r="BB340">
        <v>0</v>
      </c>
      <c r="BC340">
        <v>1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</row>
    <row r="341" spans="1:139" x14ac:dyDescent="0.2">
      <c r="A341">
        <v>98</v>
      </c>
      <c r="B341">
        <v>117.17</v>
      </c>
      <c r="C341" t="s">
        <v>339</v>
      </c>
      <c r="D341">
        <v>1</v>
      </c>
      <c r="E341">
        <v>0</v>
      </c>
      <c r="F341">
        <v>0</v>
      </c>
      <c r="G341">
        <v>1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1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1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1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</row>
    <row r="342" spans="1:139" x14ac:dyDescent="0.2">
      <c r="A342">
        <v>99</v>
      </c>
      <c r="B342">
        <v>120.17</v>
      </c>
      <c r="C342" t="s">
        <v>150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1</v>
      </c>
      <c r="AH342">
        <v>0</v>
      </c>
      <c r="AI342">
        <v>0</v>
      </c>
      <c r="AJ342">
        <v>0</v>
      </c>
      <c r="AK342">
        <v>0</v>
      </c>
      <c r="AL342">
        <v>1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</row>
    <row r="343" spans="1:139" x14ac:dyDescent="0.2">
      <c r="A343">
        <v>99</v>
      </c>
      <c r="B343">
        <v>120.14</v>
      </c>
      <c r="C343" t="s">
        <v>177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0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</row>
    <row r="344" spans="1:139" x14ac:dyDescent="0.2">
      <c r="A344">
        <v>99</v>
      </c>
      <c r="B344">
        <v>117.17</v>
      </c>
      <c r="C344" t="s">
        <v>177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0</v>
      </c>
    </row>
    <row r="345" spans="1:139" x14ac:dyDescent="0.2">
      <c r="A345">
        <v>99</v>
      </c>
      <c r="B345" t="s">
        <v>139</v>
      </c>
      <c r="C345" t="s">
        <v>316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1</v>
      </c>
      <c r="Z345">
        <v>0</v>
      </c>
      <c r="AA345">
        <v>1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0</v>
      </c>
      <c r="EC345">
        <v>0</v>
      </c>
      <c r="ED345">
        <v>0</v>
      </c>
      <c r="EE345">
        <v>0</v>
      </c>
      <c r="EF345">
        <v>0</v>
      </c>
      <c r="EG345">
        <v>0</v>
      </c>
      <c r="EH345">
        <v>0</v>
      </c>
      <c r="EI345">
        <v>0</v>
      </c>
    </row>
    <row r="346" spans="1:139" x14ac:dyDescent="0.2">
      <c r="A346">
        <v>100</v>
      </c>
      <c r="B346">
        <v>117.17</v>
      </c>
      <c r="C346" t="s">
        <v>340</v>
      </c>
      <c r="D346">
        <v>0</v>
      </c>
      <c r="E346">
        <v>0</v>
      </c>
      <c r="F346">
        <v>1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1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0</v>
      </c>
      <c r="CW346">
        <v>0</v>
      </c>
      <c r="CX346">
        <v>0</v>
      </c>
      <c r="CY346">
        <v>0</v>
      </c>
      <c r="CZ346">
        <v>0</v>
      </c>
      <c r="DA346">
        <v>0</v>
      </c>
      <c r="DB346">
        <v>0</v>
      </c>
      <c r="DC346">
        <v>0</v>
      </c>
      <c r="DD346">
        <v>0</v>
      </c>
      <c r="DE346">
        <v>0</v>
      </c>
      <c r="DF346">
        <v>0</v>
      </c>
      <c r="DG346">
        <v>0</v>
      </c>
      <c r="DH346">
        <v>0</v>
      </c>
      <c r="DI346">
        <v>0</v>
      </c>
      <c r="DJ346">
        <v>0</v>
      </c>
      <c r="DK346">
        <v>0</v>
      </c>
      <c r="DL346">
        <v>0</v>
      </c>
      <c r="DM346">
        <v>0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0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0</v>
      </c>
      <c r="EH346">
        <v>0</v>
      </c>
      <c r="EI346">
        <v>0</v>
      </c>
    </row>
    <row r="347" spans="1:139" x14ac:dyDescent="0.2">
      <c r="A347">
        <v>100</v>
      </c>
      <c r="B347">
        <v>120.17</v>
      </c>
      <c r="C347" t="s">
        <v>341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1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  <c r="EI347">
        <v>0</v>
      </c>
    </row>
    <row r="348" spans="1:139" x14ac:dyDescent="0.2">
      <c r="A348">
        <v>100</v>
      </c>
      <c r="B348" t="s">
        <v>139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</row>
    <row r="349" spans="1:139" x14ac:dyDescent="0.2">
      <c r="A349">
        <v>100</v>
      </c>
      <c r="B349">
        <v>120.14</v>
      </c>
      <c r="C349" t="s">
        <v>342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1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1</v>
      </c>
      <c r="BH349">
        <v>1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0</v>
      </c>
      <c r="EI349">
        <v>0</v>
      </c>
    </row>
    <row r="350" spans="1:139" x14ac:dyDescent="0.2">
      <c r="A350">
        <v>101</v>
      </c>
      <c r="B350" t="s">
        <v>139</v>
      </c>
      <c r="C350" t="s">
        <v>343</v>
      </c>
      <c r="D350">
        <v>1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1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</row>
    <row r="351" spans="1:139" x14ac:dyDescent="0.2">
      <c r="A351">
        <v>101</v>
      </c>
      <c r="B351">
        <v>117.17</v>
      </c>
      <c r="C351" t="s">
        <v>149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1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</row>
    <row r="352" spans="1:139" x14ac:dyDescent="0.2">
      <c r="A352">
        <v>101</v>
      </c>
      <c r="B352">
        <v>120.14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</row>
    <row r="353" spans="1:139" x14ac:dyDescent="0.2">
      <c r="A353">
        <v>101</v>
      </c>
      <c r="B353">
        <v>120.17</v>
      </c>
      <c r="C353" t="s">
        <v>344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</row>
    <row r="354" spans="1:139" x14ac:dyDescent="0.2">
      <c r="A354">
        <v>102</v>
      </c>
      <c r="B354">
        <v>120.14</v>
      </c>
      <c r="C354" t="s">
        <v>345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1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1</v>
      </c>
      <c r="AH354">
        <v>0</v>
      </c>
      <c r="AI354">
        <v>0</v>
      </c>
      <c r="AJ354">
        <v>0</v>
      </c>
      <c r="AK354">
        <v>0</v>
      </c>
      <c r="AL354">
        <v>1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</row>
    <row r="355" spans="1:139" x14ac:dyDescent="0.2">
      <c r="A355">
        <v>102</v>
      </c>
      <c r="B355" t="s">
        <v>139</v>
      </c>
      <c r="C355" t="s">
        <v>158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</row>
    <row r="356" spans="1:139" x14ac:dyDescent="0.2">
      <c r="A356">
        <v>102</v>
      </c>
      <c r="B356">
        <v>120.17</v>
      </c>
      <c r="C356" t="s">
        <v>268</v>
      </c>
      <c r="D356">
        <v>0</v>
      </c>
      <c r="E356">
        <v>0</v>
      </c>
      <c r="F356">
        <v>0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</row>
    <row r="357" spans="1:139" x14ac:dyDescent="0.2">
      <c r="A357">
        <v>102</v>
      </c>
      <c r="B357">
        <v>117.17</v>
      </c>
      <c r="C357" t="s">
        <v>193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</row>
    <row r="358" spans="1:139" x14ac:dyDescent="0.2">
      <c r="A358">
        <v>103</v>
      </c>
      <c r="B358">
        <v>120.17</v>
      </c>
      <c r="C358" t="s">
        <v>164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</row>
    <row r="359" spans="1:139" x14ac:dyDescent="0.2">
      <c r="A359">
        <v>103</v>
      </c>
      <c r="B359">
        <v>120.14</v>
      </c>
      <c r="C359" t="s">
        <v>346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1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1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0</v>
      </c>
      <c r="DQ359">
        <v>0</v>
      </c>
      <c r="DR359">
        <v>0</v>
      </c>
      <c r="DS359">
        <v>0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</row>
    <row r="360" spans="1:139" x14ac:dyDescent="0.2">
      <c r="A360">
        <v>103</v>
      </c>
      <c r="B360">
        <v>117.17</v>
      </c>
      <c r="C360" t="s">
        <v>224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1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0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</row>
    <row r="361" spans="1:139" x14ac:dyDescent="0.2">
      <c r="A361">
        <v>103</v>
      </c>
      <c r="B361" t="s">
        <v>139</v>
      </c>
      <c r="C361" t="s">
        <v>347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1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1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</row>
    <row r="362" spans="1:139" x14ac:dyDescent="0.2">
      <c r="A362">
        <v>104</v>
      </c>
      <c r="B362">
        <v>117.17</v>
      </c>
      <c r="C362" t="s">
        <v>348</v>
      </c>
      <c r="D362">
        <v>0</v>
      </c>
      <c r="E362">
        <v>0</v>
      </c>
      <c r="F362">
        <v>0</v>
      </c>
      <c r="G362">
        <v>1</v>
      </c>
      <c r="H362">
        <v>1</v>
      </c>
      <c r="I362">
        <v>0</v>
      </c>
      <c r="J362">
        <v>1</v>
      </c>
      <c r="K362">
        <v>0</v>
      </c>
      <c r="L362">
        <v>1</v>
      </c>
      <c r="M362">
        <v>0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1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0</v>
      </c>
      <c r="DP362">
        <v>0</v>
      </c>
      <c r="DQ362">
        <v>0</v>
      </c>
      <c r="DR362">
        <v>0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</row>
    <row r="363" spans="1:139" x14ac:dyDescent="0.2">
      <c r="A363">
        <v>104</v>
      </c>
      <c r="B363">
        <v>120.17</v>
      </c>
      <c r="C363" t="s">
        <v>349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0</v>
      </c>
      <c r="DR363">
        <v>0</v>
      </c>
      <c r="DS363">
        <v>0</v>
      </c>
      <c r="DT363">
        <v>0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</row>
    <row r="364" spans="1:139" x14ac:dyDescent="0.2">
      <c r="A364">
        <v>104</v>
      </c>
      <c r="B364" t="s">
        <v>139</v>
      </c>
      <c r="C364" t="s">
        <v>350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>
        <v>0</v>
      </c>
      <c r="Q364">
        <v>1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1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0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1</v>
      </c>
      <c r="EF364">
        <v>0</v>
      </c>
      <c r="EG364">
        <v>0</v>
      </c>
      <c r="EH364">
        <v>0</v>
      </c>
      <c r="EI364">
        <v>0</v>
      </c>
    </row>
    <row r="365" spans="1:139" x14ac:dyDescent="0.2">
      <c r="A365">
        <v>104</v>
      </c>
      <c r="B365">
        <v>120.14</v>
      </c>
      <c r="C365" t="s">
        <v>351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1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1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1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</row>
    <row r="366" spans="1:139" x14ac:dyDescent="0.2">
      <c r="A366">
        <v>105</v>
      </c>
      <c r="B366" t="s">
        <v>139</v>
      </c>
      <c r="C366" t="s">
        <v>352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1</v>
      </c>
      <c r="Z366">
        <v>1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</row>
    <row r="367" spans="1:139" x14ac:dyDescent="0.2">
      <c r="A367">
        <v>105</v>
      </c>
      <c r="B367">
        <v>117.17</v>
      </c>
      <c r="C367" t="s">
        <v>174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1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0</v>
      </c>
      <c r="DO367">
        <v>0</v>
      </c>
      <c r="DP367">
        <v>0</v>
      </c>
      <c r="DQ367">
        <v>0</v>
      </c>
      <c r="DR367">
        <v>0</v>
      </c>
      <c r="DS367">
        <v>0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</row>
    <row r="368" spans="1:139" x14ac:dyDescent="0.2">
      <c r="A368">
        <v>105</v>
      </c>
      <c r="B368">
        <v>120.14</v>
      </c>
      <c r="C368" t="s">
        <v>293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1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</row>
    <row r="369" spans="1:139" x14ac:dyDescent="0.2">
      <c r="A369">
        <v>105</v>
      </c>
      <c r="B369">
        <v>120.17</v>
      </c>
      <c r="C369" t="s">
        <v>234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1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</row>
    <row r="370" spans="1:139" x14ac:dyDescent="0.2">
      <c r="A370">
        <v>106</v>
      </c>
      <c r="B370">
        <v>120.14</v>
      </c>
      <c r="C370" t="s">
        <v>264</v>
      </c>
      <c r="D370">
        <v>0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</row>
    <row r="371" spans="1:139" x14ac:dyDescent="0.2">
      <c r="A371">
        <v>106</v>
      </c>
      <c r="B371" t="s">
        <v>139</v>
      </c>
      <c r="C371" t="s">
        <v>164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</row>
    <row r="372" spans="1:139" x14ac:dyDescent="0.2">
      <c r="A372">
        <v>106</v>
      </c>
      <c r="B372">
        <v>120.17</v>
      </c>
      <c r="C372" t="s">
        <v>353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1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</row>
    <row r="373" spans="1:139" x14ac:dyDescent="0.2">
      <c r="A373">
        <v>106</v>
      </c>
      <c r="B373">
        <v>117.17</v>
      </c>
      <c r="C373" t="s">
        <v>193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</row>
    <row r="374" spans="1:139" x14ac:dyDescent="0.2">
      <c r="A374">
        <v>107</v>
      </c>
      <c r="B374">
        <v>120.17</v>
      </c>
      <c r="C374" t="s">
        <v>164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</row>
    <row r="375" spans="1:139" x14ac:dyDescent="0.2">
      <c r="A375">
        <v>107</v>
      </c>
      <c r="B375">
        <v>120.14</v>
      </c>
      <c r="C375" t="s">
        <v>164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</row>
    <row r="376" spans="1:139" x14ac:dyDescent="0.2">
      <c r="A376">
        <v>107</v>
      </c>
      <c r="B376">
        <v>117.17</v>
      </c>
      <c r="C376" t="s">
        <v>164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</row>
    <row r="377" spans="1:139" x14ac:dyDescent="0.2">
      <c r="A377">
        <v>107</v>
      </c>
      <c r="B377" t="s">
        <v>139</v>
      </c>
      <c r="C377" t="s">
        <v>164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</row>
    <row r="378" spans="1:139" x14ac:dyDescent="0.2">
      <c r="A378">
        <v>108</v>
      </c>
      <c r="B378">
        <v>117.17</v>
      </c>
      <c r="C378" t="s">
        <v>354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1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</row>
    <row r="379" spans="1:139" x14ac:dyDescent="0.2">
      <c r="A379">
        <v>108</v>
      </c>
      <c r="B379">
        <v>120.17</v>
      </c>
      <c r="C379" t="s">
        <v>193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</row>
    <row r="380" spans="1:139" x14ac:dyDescent="0.2">
      <c r="A380">
        <v>108</v>
      </c>
      <c r="B380" t="s">
        <v>139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</row>
    <row r="381" spans="1:139" x14ac:dyDescent="0.2">
      <c r="A381">
        <v>108</v>
      </c>
      <c r="B381">
        <v>120.14</v>
      </c>
      <c r="C381" t="s">
        <v>319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1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</row>
    <row r="382" spans="1:139" x14ac:dyDescent="0.2">
      <c r="A382">
        <v>109</v>
      </c>
      <c r="B382" t="s">
        <v>139</v>
      </c>
      <c r="C382" t="s">
        <v>355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</row>
    <row r="383" spans="1:139" x14ac:dyDescent="0.2">
      <c r="A383">
        <v>109</v>
      </c>
      <c r="B383">
        <v>117.17</v>
      </c>
      <c r="C383" t="s">
        <v>356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1</v>
      </c>
      <c r="DF383">
        <v>0</v>
      </c>
      <c r="DG383">
        <v>1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</row>
    <row r="384" spans="1:139" x14ac:dyDescent="0.2">
      <c r="A384">
        <v>109</v>
      </c>
      <c r="B384">
        <v>120.14</v>
      </c>
      <c r="C384" t="s">
        <v>357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</row>
    <row r="385" spans="1:139" x14ac:dyDescent="0.2">
      <c r="A385">
        <v>109</v>
      </c>
      <c r="B385">
        <v>120.17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</row>
    <row r="386" spans="1:139" x14ac:dyDescent="0.2">
      <c r="A386">
        <v>110</v>
      </c>
      <c r="B386">
        <v>120.14</v>
      </c>
      <c r="C386" t="s">
        <v>164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</row>
    <row r="387" spans="1:139" x14ac:dyDescent="0.2">
      <c r="A387">
        <v>110</v>
      </c>
      <c r="B387" t="s">
        <v>139</v>
      </c>
      <c r="C387" t="s">
        <v>164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</row>
    <row r="388" spans="1:139" x14ac:dyDescent="0.2">
      <c r="A388">
        <v>110</v>
      </c>
      <c r="B388">
        <v>120.17</v>
      </c>
      <c r="C388" t="s">
        <v>148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1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1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</row>
    <row r="389" spans="1:139" x14ac:dyDescent="0.2">
      <c r="A389">
        <v>110</v>
      </c>
      <c r="B389">
        <v>117.17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</row>
    <row r="390" spans="1:139" x14ac:dyDescent="0.2">
      <c r="A390">
        <v>111</v>
      </c>
      <c r="B390">
        <v>120.17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</row>
    <row r="391" spans="1:139" x14ac:dyDescent="0.2">
      <c r="A391">
        <v>111</v>
      </c>
      <c r="B391">
        <v>120.14</v>
      </c>
      <c r="C391" t="s">
        <v>293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1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</row>
    <row r="392" spans="1:139" x14ac:dyDescent="0.2">
      <c r="A392">
        <v>111</v>
      </c>
      <c r="B392">
        <v>117.17</v>
      </c>
      <c r="C392" t="s">
        <v>358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1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</row>
    <row r="393" spans="1:139" x14ac:dyDescent="0.2">
      <c r="A393">
        <v>111</v>
      </c>
      <c r="B393" t="s">
        <v>139</v>
      </c>
      <c r="C393" t="s">
        <v>293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1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</row>
    <row r="394" spans="1:139" x14ac:dyDescent="0.2">
      <c r="A394">
        <v>112</v>
      </c>
      <c r="B394">
        <v>117.17</v>
      </c>
      <c r="C394" t="s">
        <v>359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1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1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1</v>
      </c>
      <c r="BN394">
        <v>0</v>
      </c>
      <c r="BO394">
        <v>1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</row>
    <row r="395" spans="1:139" x14ac:dyDescent="0.2">
      <c r="A395">
        <v>112</v>
      </c>
      <c r="B395">
        <v>120.17</v>
      </c>
      <c r="C395" t="s">
        <v>360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1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</row>
    <row r="396" spans="1:139" x14ac:dyDescent="0.2">
      <c r="A396">
        <v>112</v>
      </c>
      <c r="B396" t="s">
        <v>139</v>
      </c>
      <c r="C396" t="s">
        <v>361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1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</row>
    <row r="397" spans="1:139" x14ac:dyDescent="0.2">
      <c r="A397">
        <v>112</v>
      </c>
      <c r="B397">
        <v>120.14</v>
      </c>
      <c r="C397" t="s">
        <v>362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1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1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1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</row>
    <row r="398" spans="1:139" x14ac:dyDescent="0.2">
      <c r="A398">
        <v>113</v>
      </c>
      <c r="B398" t="s">
        <v>139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</row>
    <row r="399" spans="1:139" x14ac:dyDescent="0.2">
      <c r="A399">
        <v>113</v>
      </c>
      <c r="B399">
        <v>117.17</v>
      </c>
      <c r="C399" t="s">
        <v>335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1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</row>
    <row r="400" spans="1:139" x14ac:dyDescent="0.2">
      <c r="A400">
        <v>113</v>
      </c>
      <c r="B400">
        <v>120.14</v>
      </c>
      <c r="C400" t="s">
        <v>363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1</v>
      </c>
      <c r="CH400">
        <v>0</v>
      </c>
      <c r="CI400">
        <v>0</v>
      </c>
      <c r="CJ400">
        <v>1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</row>
    <row r="401" spans="1:139" x14ac:dyDescent="0.2">
      <c r="A401">
        <v>113</v>
      </c>
      <c r="B401">
        <v>120.17</v>
      </c>
      <c r="C401" t="s">
        <v>364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</row>
    <row r="402" spans="1:139" x14ac:dyDescent="0.2">
      <c r="A402">
        <v>114</v>
      </c>
      <c r="B402">
        <v>120.14</v>
      </c>
      <c r="C402" t="s">
        <v>365</v>
      </c>
      <c r="D402">
        <v>0</v>
      </c>
      <c r="E402">
        <v>0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</row>
    <row r="403" spans="1:139" x14ac:dyDescent="0.2">
      <c r="A403">
        <v>114</v>
      </c>
      <c r="B403" t="s">
        <v>139</v>
      </c>
      <c r="C403" t="s">
        <v>366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1</v>
      </c>
      <c r="K403">
        <v>0</v>
      </c>
      <c r="L403">
        <v>1</v>
      </c>
      <c r="M403">
        <v>0</v>
      </c>
      <c r="N403">
        <v>0</v>
      </c>
      <c r="O403">
        <v>0</v>
      </c>
      <c r="P403">
        <v>1</v>
      </c>
      <c r="Q403">
        <v>0</v>
      </c>
      <c r="R403">
        <v>0</v>
      </c>
      <c r="S403">
        <v>1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</row>
    <row r="404" spans="1:139" x14ac:dyDescent="0.2">
      <c r="A404">
        <v>114</v>
      </c>
      <c r="B404">
        <v>120.17</v>
      </c>
      <c r="C404" t="s">
        <v>367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</row>
    <row r="405" spans="1:139" x14ac:dyDescent="0.2">
      <c r="A405">
        <v>114</v>
      </c>
      <c r="B405">
        <v>117.17</v>
      </c>
      <c r="C405" t="s">
        <v>368</v>
      </c>
      <c r="D405">
        <v>0</v>
      </c>
      <c r="E405">
        <v>0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</row>
    <row r="406" spans="1:139" x14ac:dyDescent="0.2">
      <c r="A406">
        <v>115</v>
      </c>
      <c r="B406">
        <v>120.17</v>
      </c>
      <c r="C406" t="s">
        <v>369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1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1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</row>
    <row r="407" spans="1:139" x14ac:dyDescent="0.2">
      <c r="A407">
        <v>115</v>
      </c>
      <c r="B407">
        <v>120.14</v>
      </c>
      <c r="C407" t="s">
        <v>370</v>
      </c>
      <c r="D407">
        <v>0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1</v>
      </c>
      <c r="AP407">
        <v>0</v>
      </c>
      <c r="AQ407">
        <v>1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</row>
    <row r="408" spans="1:139" x14ac:dyDescent="0.2">
      <c r="A408">
        <v>115</v>
      </c>
      <c r="B408">
        <v>117.17</v>
      </c>
      <c r="C408" t="s">
        <v>371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1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</row>
    <row r="409" spans="1:139" x14ac:dyDescent="0.2">
      <c r="A409">
        <v>115</v>
      </c>
      <c r="B409" t="s">
        <v>139</v>
      </c>
      <c r="C409" t="s">
        <v>372</v>
      </c>
      <c r="D409">
        <v>0</v>
      </c>
      <c r="E409">
        <v>0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</row>
    <row r="410" spans="1:139" x14ac:dyDescent="0.2">
      <c r="A410">
        <v>116</v>
      </c>
      <c r="B410">
        <v>117.17</v>
      </c>
      <c r="C410" t="s">
        <v>373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1</v>
      </c>
      <c r="DT410">
        <v>0</v>
      </c>
      <c r="DU410">
        <v>0</v>
      </c>
      <c r="DV410">
        <v>1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</row>
    <row r="411" spans="1:139" x14ac:dyDescent="0.2">
      <c r="A411">
        <v>116</v>
      </c>
      <c r="B411">
        <v>120.17</v>
      </c>
      <c r="C411" t="s">
        <v>374</v>
      </c>
      <c r="D411">
        <v>0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1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1</v>
      </c>
      <c r="DT411">
        <v>0</v>
      </c>
      <c r="DU411">
        <v>0</v>
      </c>
      <c r="DV411">
        <v>1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</row>
    <row r="412" spans="1:139" x14ac:dyDescent="0.2">
      <c r="A412">
        <v>116</v>
      </c>
      <c r="B412" t="s">
        <v>139</v>
      </c>
      <c r="C412" t="s">
        <v>375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1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1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1</v>
      </c>
      <c r="DT412">
        <v>0</v>
      </c>
      <c r="DU412">
        <v>0</v>
      </c>
      <c r="DV412">
        <v>1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</row>
    <row r="413" spans="1:139" x14ac:dyDescent="0.2">
      <c r="A413">
        <v>116</v>
      </c>
      <c r="B413">
        <v>120.14</v>
      </c>
      <c r="C413" t="s">
        <v>376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1</v>
      </c>
      <c r="AH413">
        <v>0</v>
      </c>
      <c r="AI413">
        <v>0</v>
      </c>
      <c r="AJ413">
        <v>0</v>
      </c>
      <c r="AK413">
        <v>0</v>
      </c>
      <c r="AL413">
        <v>1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1</v>
      </c>
      <c r="DT413">
        <v>0</v>
      </c>
      <c r="DU413">
        <v>0</v>
      </c>
      <c r="DV413">
        <v>1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</row>
    <row r="414" spans="1:139" x14ac:dyDescent="0.2">
      <c r="A414">
        <v>117</v>
      </c>
      <c r="B414" t="s">
        <v>139</v>
      </c>
      <c r="C414" t="s">
        <v>377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1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1</v>
      </c>
      <c r="EF414">
        <v>0</v>
      </c>
      <c r="EG414">
        <v>0</v>
      </c>
      <c r="EH414">
        <v>1</v>
      </c>
      <c r="EI414">
        <v>0</v>
      </c>
    </row>
    <row r="415" spans="1:139" x14ac:dyDescent="0.2">
      <c r="A415">
        <v>117</v>
      </c>
      <c r="B415">
        <v>117.17</v>
      </c>
      <c r="C415" t="s">
        <v>378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1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</row>
    <row r="416" spans="1:139" x14ac:dyDescent="0.2">
      <c r="A416">
        <v>117</v>
      </c>
      <c r="B416">
        <v>120.14</v>
      </c>
      <c r="C416" t="s">
        <v>379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1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</row>
    <row r="417" spans="1:139" x14ac:dyDescent="0.2">
      <c r="A417">
        <v>117</v>
      </c>
      <c r="B417">
        <v>120.17</v>
      </c>
      <c r="C417" t="s">
        <v>380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1</v>
      </c>
      <c r="BA417">
        <v>0</v>
      </c>
      <c r="BB417">
        <v>0</v>
      </c>
      <c r="BC417">
        <v>1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</row>
    <row r="418" spans="1:139" x14ac:dyDescent="0.2">
      <c r="A418">
        <v>118</v>
      </c>
      <c r="B418">
        <v>120.14</v>
      </c>
      <c r="C418" t="s">
        <v>164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</row>
    <row r="419" spans="1:139" x14ac:dyDescent="0.2">
      <c r="A419">
        <v>118</v>
      </c>
      <c r="B419" t="s">
        <v>139</v>
      </c>
      <c r="C419" t="s">
        <v>319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1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</row>
    <row r="420" spans="1:139" x14ac:dyDescent="0.2">
      <c r="A420">
        <v>118</v>
      </c>
      <c r="B420">
        <v>120.17</v>
      </c>
      <c r="C420" t="s">
        <v>164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</row>
    <row r="421" spans="1:139" x14ac:dyDescent="0.2">
      <c r="A421">
        <v>118</v>
      </c>
      <c r="B421">
        <v>117.17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</row>
    <row r="422" spans="1:139" x14ac:dyDescent="0.2">
      <c r="A422">
        <v>119</v>
      </c>
      <c r="B422">
        <v>120.17</v>
      </c>
      <c r="C422" t="s">
        <v>381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1</v>
      </c>
      <c r="M422">
        <v>0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1</v>
      </c>
      <c r="AH422">
        <v>0</v>
      </c>
      <c r="AI422">
        <v>0</v>
      </c>
      <c r="AJ422">
        <v>0</v>
      </c>
      <c r="AK422">
        <v>0</v>
      </c>
      <c r="AL422">
        <v>1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1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1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</row>
    <row r="423" spans="1:139" x14ac:dyDescent="0.2">
      <c r="A423">
        <v>119</v>
      </c>
      <c r="B423">
        <v>120.14</v>
      </c>
      <c r="C423" t="s">
        <v>382</v>
      </c>
      <c r="D423">
        <v>0</v>
      </c>
      <c r="E423">
        <v>0</v>
      </c>
      <c r="F423">
        <v>1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1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1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</row>
    <row r="424" spans="1:139" x14ac:dyDescent="0.2">
      <c r="A424">
        <v>119</v>
      </c>
      <c r="B424">
        <v>117.17</v>
      </c>
      <c r="C424" t="s">
        <v>383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1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1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1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</row>
    <row r="425" spans="1:139" x14ac:dyDescent="0.2">
      <c r="A425">
        <v>119</v>
      </c>
      <c r="B425" t="s">
        <v>139</v>
      </c>
      <c r="C425" t="s">
        <v>384</v>
      </c>
      <c r="D425">
        <v>0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1</v>
      </c>
      <c r="AH425">
        <v>0</v>
      </c>
      <c r="AI425">
        <v>0</v>
      </c>
      <c r="AJ425">
        <v>0</v>
      </c>
      <c r="AK425">
        <v>0</v>
      </c>
      <c r="AL425">
        <v>1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</row>
    <row r="426" spans="1:139" x14ac:dyDescent="0.2">
      <c r="A426">
        <v>120</v>
      </c>
      <c r="B426">
        <v>117.17</v>
      </c>
      <c r="C426" t="s">
        <v>385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1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1</v>
      </c>
      <c r="EF426">
        <v>0</v>
      </c>
      <c r="EG426">
        <v>0</v>
      </c>
      <c r="EH426">
        <v>0</v>
      </c>
      <c r="EI426">
        <v>0</v>
      </c>
    </row>
    <row r="427" spans="1:139" x14ac:dyDescent="0.2">
      <c r="A427">
        <v>120</v>
      </c>
      <c r="B427">
        <v>120.17</v>
      </c>
      <c r="C427" t="s">
        <v>158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1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</row>
    <row r="428" spans="1:139" x14ac:dyDescent="0.2">
      <c r="A428">
        <v>120</v>
      </c>
      <c r="B428" t="s">
        <v>139</v>
      </c>
      <c r="C428" t="s">
        <v>386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1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1</v>
      </c>
      <c r="BN428">
        <v>0</v>
      </c>
      <c r="BO428">
        <v>1</v>
      </c>
      <c r="BP428">
        <v>1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1</v>
      </c>
      <c r="EA428">
        <v>0</v>
      </c>
      <c r="EB428">
        <v>0</v>
      </c>
      <c r="EC428">
        <v>1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</row>
    <row r="429" spans="1:139" x14ac:dyDescent="0.2">
      <c r="A429">
        <v>120</v>
      </c>
      <c r="B429">
        <v>120.14</v>
      </c>
      <c r="C429" t="s">
        <v>387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1</v>
      </c>
      <c r="Z429">
        <v>0</v>
      </c>
      <c r="AA429">
        <v>1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1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1</v>
      </c>
      <c r="DM429">
        <v>1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</row>
    <row r="430" spans="1:139" x14ac:dyDescent="0.2">
      <c r="A430">
        <v>121</v>
      </c>
      <c r="B430" t="s">
        <v>139</v>
      </c>
      <c r="C430" t="s">
        <v>190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</row>
    <row r="431" spans="1:139" x14ac:dyDescent="0.2">
      <c r="A431">
        <v>121</v>
      </c>
      <c r="B431">
        <v>117.17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</row>
    <row r="432" spans="1:139" x14ac:dyDescent="0.2">
      <c r="A432">
        <v>121</v>
      </c>
      <c r="B432">
        <v>120.14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</row>
    <row r="433" spans="1:139" x14ac:dyDescent="0.2">
      <c r="A433">
        <v>121</v>
      </c>
      <c r="B433">
        <v>120.17</v>
      </c>
      <c r="C433" t="s">
        <v>190</v>
      </c>
      <c r="D433">
        <v>0</v>
      </c>
      <c r="E433">
        <v>0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</row>
    <row r="434" spans="1:139" x14ac:dyDescent="0.2">
      <c r="A434">
        <v>122</v>
      </c>
      <c r="B434">
        <v>120.14</v>
      </c>
      <c r="C434" t="s">
        <v>388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1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</row>
    <row r="435" spans="1:139" x14ac:dyDescent="0.2">
      <c r="A435">
        <v>122</v>
      </c>
      <c r="B435" t="s">
        <v>139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</row>
    <row r="436" spans="1:139" x14ac:dyDescent="0.2">
      <c r="A436">
        <v>122</v>
      </c>
      <c r="B436">
        <v>120.17</v>
      </c>
      <c r="C436" t="s">
        <v>190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</row>
    <row r="437" spans="1:139" x14ac:dyDescent="0.2">
      <c r="A437">
        <v>122</v>
      </c>
      <c r="B437">
        <v>117.17</v>
      </c>
      <c r="C437" t="s">
        <v>389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1</v>
      </c>
      <c r="EF437">
        <v>0</v>
      </c>
      <c r="EG437">
        <v>0</v>
      </c>
      <c r="EH437">
        <v>0</v>
      </c>
      <c r="EI437">
        <v>0</v>
      </c>
    </row>
    <row r="438" spans="1:139" x14ac:dyDescent="0.2">
      <c r="A438">
        <v>123</v>
      </c>
      <c r="B438">
        <v>120.17</v>
      </c>
      <c r="C438" t="s">
        <v>390</v>
      </c>
      <c r="D438">
        <v>0</v>
      </c>
      <c r="E438">
        <v>0</v>
      </c>
      <c r="F438">
        <v>0</v>
      </c>
      <c r="G438">
        <v>1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1</v>
      </c>
      <c r="AH438">
        <v>0</v>
      </c>
      <c r="AI438">
        <v>1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1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1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1</v>
      </c>
      <c r="BN438">
        <v>0</v>
      </c>
      <c r="BO438">
        <v>1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</v>
      </c>
      <c r="DT438">
        <v>0</v>
      </c>
      <c r="DU438">
        <v>1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</row>
    <row r="439" spans="1:139" x14ac:dyDescent="0.2">
      <c r="A439">
        <v>123</v>
      </c>
      <c r="B439">
        <v>120.14</v>
      </c>
      <c r="C439" t="s">
        <v>391</v>
      </c>
      <c r="D439">
        <v>0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1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1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</row>
    <row r="440" spans="1:139" x14ac:dyDescent="0.2">
      <c r="A440">
        <v>123</v>
      </c>
      <c r="B440">
        <v>117.17</v>
      </c>
      <c r="C440" t="s">
        <v>392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1</v>
      </c>
      <c r="CH440">
        <v>0</v>
      </c>
      <c r="CI440">
        <v>0</v>
      </c>
      <c r="CJ440">
        <v>0</v>
      </c>
      <c r="CK440">
        <v>1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</row>
    <row r="441" spans="1:139" x14ac:dyDescent="0.2">
      <c r="A441">
        <v>123</v>
      </c>
      <c r="B441" t="s">
        <v>139</v>
      </c>
      <c r="C441" t="s">
        <v>393</v>
      </c>
      <c r="D441">
        <v>0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1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1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</row>
    <row r="442" spans="1:139" x14ac:dyDescent="0.2">
      <c r="A442">
        <v>124</v>
      </c>
      <c r="B442">
        <v>117.17</v>
      </c>
      <c r="C442" t="s">
        <v>164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</row>
    <row r="443" spans="1:139" x14ac:dyDescent="0.2">
      <c r="A443">
        <v>124</v>
      </c>
      <c r="B443">
        <v>120.17</v>
      </c>
      <c r="C443" t="s">
        <v>163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</row>
    <row r="444" spans="1:139" x14ac:dyDescent="0.2">
      <c r="A444">
        <v>124</v>
      </c>
      <c r="B444" t="s">
        <v>139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</row>
    <row r="445" spans="1:139" x14ac:dyDescent="0.2">
      <c r="A445">
        <v>124</v>
      </c>
      <c r="B445">
        <v>120.14</v>
      </c>
      <c r="C445" t="s">
        <v>164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</row>
    <row r="446" spans="1:139" x14ac:dyDescent="0.2">
      <c r="A446">
        <v>125</v>
      </c>
      <c r="B446" t="s">
        <v>139</v>
      </c>
      <c r="C446" t="s">
        <v>394</v>
      </c>
      <c r="D446">
        <v>0</v>
      </c>
      <c r="E446">
        <v>0</v>
      </c>
      <c r="F446">
        <v>0</v>
      </c>
      <c r="G446">
        <v>0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1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1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</row>
    <row r="447" spans="1:139" x14ac:dyDescent="0.2">
      <c r="A447">
        <v>125</v>
      </c>
      <c r="B447">
        <v>117.17</v>
      </c>
      <c r="C447" t="s">
        <v>395</v>
      </c>
      <c r="D447">
        <v>0</v>
      </c>
      <c r="E447">
        <v>0</v>
      </c>
      <c r="F447">
        <v>0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1</v>
      </c>
      <c r="Y447">
        <v>0</v>
      </c>
      <c r="Z447">
        <v>0</v>
      </c>
      <c r="AA447">
        <v>1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</row>
    <row r="448" spans="1:139" x14ac:dyDescent="0.2">
      <c r="A448">
        <v>125</v>
      </c>
      <c r="B448">
        <v>120.14</v>
      </c>
      <c r="C448" t="s">
        <v>396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1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</row>
    <row r="449" spans="1:139" x14ac:dyDescent="0.2">
      <c r="A449">
        <v>125</v>
      </c>
      <c r="B449">
        <v>120.17</v>
      </c>
      <c r="C449" t="s">
        <v>397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</v>
      </c>
      <c r="Y449">
        <v>1</v>
      </c>
      <c r="Z449">
        <v>0</v>
      </c>
      <c r="AA449">
        <v>1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1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</row>
    <row r="450" spans="1:139" x14ac:dyDescent="0.2">
      <c r="A450">
        <v>126</v>
      </c>
      <c r="B450">
        <v>120.14</v>
      </c>
      <c r="C450" t="s">
        <v>398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1</v>
      </c>
      <c r="Z450">
        <v>0</v>
      </c>
      <c r="AA450">
        <v>0</v>
      </c>
      <c r="AB450">
        <v>0</v>
      </c>
      <c r="AC450">
        <v>0</v>
      </c>
      <c r="AD450">
        <v>1</v>
      </c>
      <c r="AE450">
        <v>0</v>
      </c>
      <c r="AF450">
        <v>1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</row>
    <row r="451" spans="1:139" x14ac:dyDescent="0.2">
      <c r="A451">
        <v>126</v>
      </c>
      <c r="B451" t="s">
        <v>139</v>
      </c>
      <c r="C451" t="s">
        <v>399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1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</row>
    <row r="452" spans="1:139" x14ac:dyDescent="0.2">
      <c r="A452">
        <v>126</v>
      </c>
      <c r="B452">
        <v>120.17</v>
      </c>
      <c r="C452" t="s">
        <v>400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1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</row>
    <row r="453" spans="1:139" x14ac:dyDescent="0.2">
      <c r="A453">
        <v>126</v>
      </c>
      <c r="B453">
        <v>117.17</v>
      </c>
      <c r="C453" t="s">
        <v>401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1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</row>
    <row r="454" spans="1:139" x14ac:dyDescent="0.2">
      <c r="A454">
        <v>127</v>
      </c>
      <c r="B454">
        <v>120.17</v>
      </c>
      <c r="C454" t="s">
        <v>402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1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1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</row>
    <row r="455" spans="1:139" x14ac:dyDescent="0.2">
      <c r="A455">
        <v>127</v>
      </c>
      <c r="B455">
        <v>120.14</v>
      </c>
      <c r="C455" t="s">
        <v>403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  <c r="Z455">
        <v>1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1</v>
      </c>
      <c r="DF455">
        <v>0</v>
      </c>
      <c r="DG455">
        <v>0</v>
      </c>
      <c r="DH455">
        <v>0</v>
      </c>
      <c r="DI455">
        <v>1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</row>
    <row r="456" spans="1:139" x14ac:dyDescent="0.2">
      <c r="A456">
        <v>127</v>
      </c>
      <c r="B456">
        <v>117.17</v>
      </c>
      <c r="C456" t="s">
        <v>404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1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</row>
    <row r="457" spans="1:139" x14ac:dyDescent="0.2">
      <c r="A457">
        <v>127</v>
      </c>
      <c r="B457" t="s">
        <v>139</v>
      </c>
      <c r="C457" t="s">
        <v>405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</row>
    <row r="458" spans="1:139" x14ac:dyDescent="0.2">
      <c r="A458">
        <v>128</v>
      </c>
      <c r="B458">
        <v>117.17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</row>
    <row r="459" spans="1:139" x14ac:dyDescent="0.2">
      <c r="A459">
        <v>128</v>
      </c>
      <c r="B459">
        <v>120.17</v>
      </c>
      <c r="C459" t="s">
        <v>164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</row>
    <row r="460" spans="1:139" x14ac:dyDescent="0.2">
      <c r="A460">
        <v>128</v>
      </c>
      <c r="B460" t="s">
        <v>139</v>
      </c>
      <c r="C460" t="s">
        <v>148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1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1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</row>
    <row r="461" spans="1:139" x14ac:dyDescent="0.2">
      <c r="A461">
        <v>128</v>
      </c>
      <c r="B461">
        <v>120.14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</row>
    <row r="462" spans="1:139" x14ac:dyDescent="0.2">
      <c r="A462">
        <v>129</v>
      </c>
      <c r="B462" t="s">
        <v>139</v>
      </c>
      <c r="C462" t="s">
        <v>164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</row>
    <row r="463" spans="1:139" x14ac:dyDescent="0.2">
      <c r="A463">
        <v>129</v>
      </c>
      <c r="B463">
        <v>117.17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</row>
    <row r="464" spans="1:139" x14ac:dyDescent="0.2">
      <c r="A464">
        <v>129</v>
      </c>
      <c r="B464">
        <v>120.14</v>
      </c>
      <c r="C464" t="s">
        <v>406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1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</row>
    <row r="465" spans="1:139" x14ac:dyDescent="0.2">
      <c r="A465">
        <v>129</v>
      </c>
      <c r="B465">
        <v>120.17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</row>
    <row r="466" spans="1:139" x14ac:dyDescent="0.2">
      <c r="A466">
        <v>130</v>
      </c>
      <c r="B466">
        <v>120.14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</row>
    <row r="467" spans="1:139" x14ac:dyDescent="0.2">
      <c r="A467">
        <v>130</v>
      </c>
      <c r="B467" t="s">
        <v>139</v>
      </c>
      <c r="C467" t="s">
        <v>164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</row>
    <row r="468" spans="1:139" x14ac:dyDescent="0.2">
      <c r="A468">
        <v>130</v>
      </c>
      <c r="B468">
        <v>120.17</v>
      </c>
      <c r="C468" t="s">
        <v>149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1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</row>
    <row r="469" spans="1:139" x14ac:dyDescent="0.2">
      <c r="A469">
        <v>130</v>
      </c>
      <c r="B469">
        <v>117.17</v>
      </c>
      <c r="C469" t="s">
        <v>265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</row>
    <row r="470" spans="1:139" x14ac:dyDescent="0.2">
      <c r="A470">
        <v>131</v>
      </c>
      <c r="B470">
        <v>120.17</v>
      </c>
      <c r="C470" t="s">
        <v>407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1</v>
      </c>
      <c r="Z470">
        <v>0</v>
      </c>
      <c r="AA470">
        <v>1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</row>
    <row r="471" spans="1:139" x14ac:dyDescent="0.2">
      <c r="A471">
        <v>131</v>
      </c>
      <c r="B471">
        <v>120.14</v>
      </c>
      <c r="C471" t="s">
        <v>164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</row>
    <row r="472" spans="1:139" x14ac:dyDescent="0.2">
      <c r="A472">
        <v>131</v>
      </c>
      <c r="B472">
        <v>117.17</v>
      </c>
      <c r="C472" t="s">
        <v>295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1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1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</row>
    <row r="473" spans="1:139" x14ac:dyDescent="0.2">
      <c r="A473">
        <v>131</v>
      </c>
      <c r="B473" t="s">
        <v>139</v>
      </c>
      <c r="C473" t="s">
        <v>158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1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</row>
    <row r="474" spans="1:139" x14ac:dyDescent="0.2">
      <c r="A474">
        <v>132</v>
      </c>
      <c r="B474">
        <v>117.17</v>
      </c>
      <c r="C474" t="s">
        <v>164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</row>
    <row r="475" spans="1:139" x14ac:dyDescent="0.2">
      <c r="A475">
        <v>132</v>
      </c>
      <c r="B475">
        <v>120.17</v>
      </c>
      <c r="C475" t="s">
        <v>164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</row>
    <row r="476" spans="1:139" x14ac:dyDescent="0.2">
      <c r="A476">
        <v>132</v>
      </c>
      <c r="B476" t="s">
        <v>139</v>
      </c>
      <c r="C476" t="s">
        <v>164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</row>
    <row r="477" spans="1:139" x14ac:dyDescent="0.2">
      <c r="A477">
        <v>132</v>
      </c>
      <c r="B477">
        <v>120.14</v>
      </c>
      <c r="C477" t="s">
        <v>164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</row>
    <row r="478" spans="1:139" x14ac:dyDescent="0.2">
      <c r="A478">
        <v>133</v>
      </c>
      <c r="B478" t="s">
        <v>139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</row>
    <row r="479" spans="1:139" x14ac:dyDescent="0.2">
      <c r="A479">
        <v>133</v>
      </c>
      <c r="B479">
        <v>117.17</v>
      </c>
      <c r="C479" t="s">
        <v>158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</row>
    <row r="480" spans="1:139" x14ac:dyDescent="0.2">
      <c r="A480">
        <v>133</v>
      </c>
      <c r="B480">
        <v>120.14</v>
      </c>
      <c r="C480" t="s">
        <v>408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1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1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1</v>
      </c>
      <c r="EF480">
        <v>0</v>
      </c>
      <c r="EG480">
        <v>0</v>
      </c>
      <c r="EH480">
        <v>1</v>
      </c>
      <c r="EI480">
        <v>0</v>
      </c>
    </row>
    <row r="481" spans="1:139" x14ac:dyDescent="0.2">
      <c r="A481">
        <v>133</v>
      </c>
      <c r="B481">
        <v>120.17</v>
      </c>
      <c r="C481" t="s">
        <v>372</v>
      </c>
      <c r="D481">
        <v>0</v>
      </c>
      <c r="E481">
        <v>0</v>
      </c>
      <c r="F481">
        <v>0</v>
      </c>
      <c r="G481">
        <v>0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</row>
    <row r="482" spans="1:139" x14ac:dyDescent="0.2">
      <c r="A482">
        <v>134</v>
      </c>
      <c r="B482">
        <v>120.14</v>
      </c>
      <c r="C482" t="s">
        <v>164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</row>
    <row r="483" spans="1:139" x14ac:dyDescent="0.2">
      <c r="A483">
        <v>134</v>
      </c>
      <c r="B483" t="s">
        <v>139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</row>
    <row r="484" spans="1:139" x14ac:dyDescent="0.2">
      <c r="A484">
        <v>134</v>
      </c>
      <c r="B484">
        <v>120.17</v>
      </c>
      <c r="C484" t="s">
        <v>409</v>
      </c>
      <c r="D484">
        <v>0</v>
      </c>
      <c r="E484">
        <v>0</v>
      </c>
      <c r="F484">
        <v>0</v>
      </c>
      <c r="G484">
        <v>0</v>
      </c>
      <c r="H484">
        <v>1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1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1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</row>
    <row r="485" spans="1:139" x14ac:dyDescent="0.2">
      <c r="A485">
        <v>134</v>
      </c>
      <c r="B485">
        <v>117.17</v>
      </c>
      <c r="C485" t="s">
        <v>149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1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</row>
    <row r="486" spans="1:139" x14ac:dyDescent="0.2">
      <c r="A486">
        <v>135</v>
      </c>
      <c r="B486">
        <v>120.17</v>
      </c>
      <c r="C486" t="s">
        <v>164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</row>
    <row r="487" spans="1:139" x14ac:dyDescent="0.2">
      <c r="A487">
        <v>135</v>
      </c>
      <c r="B487">
        <v>120.14</v>
      </c>
      <c r="C487" t="s">
        <v>148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1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1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</row>
    <row r="488" spans="1:139" x14ac:dyDescent="0.2">
      <c r="A488">
        <v>135</v>
      </c>
      <c r="B488">
        <v>117.17</v>
      </c>
      <c r="C488" t="s">
        <v>224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1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</row>
    <row r="489" spans="1:139" x14ac:dyDescent="0.2">
      <c r="A489">
        <v>135</v>
      </c>
      <c r="B489" t="s">
        <v>139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</row>
    <row r="490" spans="1:139" x14ac:dyDescent="0.2">
      <c r="A490">
        <v>136</v>
      </c>
      <c r="B490">
        <v>117.17</v>
      </c>
      <c r="C490" t="s">
        <v>410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1</v>
      </c>
      <c r="BH490">
        <v>1</v>
      </c>
      <c r="BI490">
        <v>1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1</v>
      </c>
      <c r="EF490">
        <v>0</v>
      </c>
      <c r="EG490">
        <v>0</v>
      </c>
      <c r="EH490">
        <v>0</v>
      </c>
      <c r="EI490">
        <v>0</v>
      </c>
    </row>
    <row r="491" spans="1:139" x14ac:dyDescent="0.2">
      <c r="A491">
        <v>136</v>
      </c>
      <c r="B491">
        <v>120.17</v>
      </c>
      <c r="C491" t="s">
        <v>411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1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1</v>
      </c>
      <c r="BN491">
        <v>0</v>
      </c>
      <c r="BO491">
        <v>1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</row>
    <row r="492" spans="1:139" x14ac:dyDescent="0.2">
      <c r="A492">
        <v>136</v>
      </c>
      <c r="B492" t="s">
        <v>139</v>
      </c>
      <c r="C492" t="s">
        <v>224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1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</row>
    <row r="493" spans="1:139" x14ac:dyDescent="0.2">
      <c r="A493">
        <v>136</v>
      </c>
      <c r="B493">
        <v>120.14</v>
      </c>
      <c r="C493" t="s">
        <v>412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1</v>
      </c>
      <c r="EF493">
        <v>0</v>
      </c>
      <c r="EG493">
        <v>0</v>
      </c>
      <c r="EH493">
        <v>1</v>
      </c>
      <c r="EI493">
        <v>0</v>
      </c>
    </row>
    <row r="494" spans="1:139" x14ac:dyDescent="0.2">
      <c r="A494">
        <v>137</v>
      </c>
      <c r="B494" t="s">
        <v>139</v>
      </c>
      <c r="C494" t="s">
        <v>413</v>
      </c>
      <c r="D494">
        <v>0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1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1</v>
      </c>
      <c r="EF494">
        <v>0</v>
      </c>
      <c r="EG494">
        <v>0</v>
      </c>
      <c r="EH494">
        <v>0</v>
      </c>
      <c r="EI494">
        <v>0</v>
      </c>
    </row>
    <row r="495" spans="1:139" x14ac:dyDescent="0.2">
      <c r="A495">
        <v>137</v>
      </c>
      <c r="B495">
        <v>117.17</v>
      </c>
      <c r="C495" t="s">
        <v>346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1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1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</row>
    <row r="496" spans="1:139" x14ac:dyDescent="0.2">
      <c r="A496">
        <v>137</v>
      </c>
      <c r="B496">
        <v>120.14</v>
      </c>
      <c r="C496" t="s">
        <v>414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1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0</v>
      </c>
      <c r="DA496">
        <v>0</v>
      </c>
      <c r="DB496">
        <v>0</v>
      </c>
      <c r="DC496">
        <v>0</v>
      </c>
      <c r="DD496">
        <v>0</v>
      </c>
      <c r="DE496">
        <v>0</v>
      </c>
      <c r="DF496">
        <v>0</v>
      </c>
      <c r="DG496">
        <v>0</v>
      </c>
      <c r="DH496">
        <v>0</v>
      </c>
      <c r="DI496">
        <v>1</v>
      </c>
      <c r="DJ496">
        <v>0</v>
      </c>
      <c r="DK496">
        <v>0</v>
      </c>
      <c r="DL496">
        <v>0</v>
      </c>
      <c r="DM496">
        <v>0</v>
      </c>
      <c r="DN496">
        <v>0</v>
      </c>
      <c r="DO496">
        <v>0</v>
      </c>
      <c r="DP496">
        <v>0</v>
      </c>
      <c r="DQ496">
        <v>0</v>
      </c>
      <c r="DR496">
        <v>0</v>
      </c>
      <c r="DS496">
        <v>0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0</v>
      </c>
      <c r="EI496">
        <v>0</v>
      </c>
    </row>
    <row r="497" spans="1:139" x14ac:dyDescent="0.2">
      <c r="A497">
        <v>137</v>
      </c>
      <c r="B497">
        <v>120.17</v>
      </c>
      <c r="C497" t="s">
        <v>174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1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</row>
    <row r="498" spans="1:139" x14ac:dyDescent="0.2">
      <c r="A498">
        <v>138</v>
      </c>
      <c r="B498">
        <v>120.14</v>
      </c>
      <c r="C498" t="s">
        <v>415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1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0</v>
      </c>
      <c r="DB498">
        <v>0</v>
      </c>
      <c r="DC498">
        <v>0</v>
      </c>
      <c r="DD498">
        <v>0</v>
      </c>
      <c r="DE498">
        <v>0</v>
      </c>
      <c r="DF498">
        <v>0</v>
      </c>
      <c r="DG498">
        <v>0</v>
      </c>
      <c r="DH498">
        <v>0</v>
      </c>
      <c r="DI498">
        <v>0</v>
      </c>
      <c r="DJ498">
        <v>0</v>
      </c>
      <c r="DK498">
        <v>0</v>
      </c>
      <c r="DL498">
        <v>0</v>
      </c>
      <c r="DM498">
        <v>0</v>
      </c>
      <c r="DN498">
        <v>0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  <c r="EI498">
        <v>0</v>
      </c>
    </row>
    <row r="499" spans="1:139" x14ac:dyDescent="0.2">
      <c r="A499">
        <v>138</v>
      </c>
      <c r="B499" t="s">
        <v>139</v>
      </c>
      <c r="C499" t="s">
        <v>416</v>
      </c>
      <c r="D499">
        <v>0</v>
      </c>
      <c r="E499">
        <v>0</v>
      </c>
      <c r="F499">
        <v>1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1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1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F499">
        <v>0</v>
      </c>
      <c r="DG499">
        <v>0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</row>
    <row r="500" spans="1:139" x14ac:dyDescent="0.2">
      <c r="A500">
        <v>138</v>
      </c>
      <c r="B500">
        <v>120.17</v>
      </c>
      <c r="C500" t="s">
        <v>417</v>
      </c>
      <c r="D500">
        <v>1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1</v>
      </c>
      <c r="AT500">
        <v>0</v>
      </c>
      <c r="AU500">
        <v>0</v>
      </c>
      <c r="AV500">
        <v>1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0</v>
      </c>
      <c r="DE500">
        <v>0</v>
      </c>
      <c r="DF500">
        <v>0</v>
      </c>
      <c r="DG500">
        <v>0</v>
      </c>
      <c r="DH500">
        <v>0</v>
      </c>
      <c r="DI500">
        <v>1</v>
      </c>
      <c r="DJ500">
        <v>1</v>
      </c>
      <c r="DK500">
        <v>1</v>
      </c>
      <c r="DL500">
        <v>0</v>
      </c>
      <c r="DM500">
        <v>0</v>
      </c>
      <c r="DN500">
        <v>0</v>
      </c>
      <c r="DO500">
        <v>0</v>
      </c>
      <c r="DP500">
        <v>0</v>
      </c>
      <c r="DQ500">
        <v>0</v>
      </c>
      <c r="DR500">
        <v>0</v>
      </c>
      <c r="DS500">
        <v>0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</row>
    <row r="501" spans="1:139" x14ac:dyDescent="0.2">
      <c r="A501">
        <v>138</v>
      </c>
      <c r="B501">
        <v>117.17</v>
      </c>
      <c r="C501" t="s">
        <v>418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1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1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0</v>
      </c>
      <c r="DC501">
        <v>0</v>
      </c>
      <c r="DD501">
        <v>0</v>
      </c>
      <c r="DE501">
        <v>0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0</v>
      </c>
      <c r="DS501">
        <v>0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</row>
    <row r="502" spans="1:139" x14ac:dyDescent="0.2">
      <c r="A502">
        <v>139</v>
      </c>
      <c r="B502">
        <v>120.17</v>
      </c>
      <c r="C502" t="s">
        <v>335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1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F502">
        <v>0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0</v>
      </c>
      <c r="DQ502">
        <v>0</v>
      </c>
      <c r="DR502">
        <v>0</v>
      </c>
      <c r="DS502">
        <v>0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</row>
    <row r="503" spans="1:139" x14ac:dyDescent="0.2">
      <c r="A503">
        <v>139</v>
      </c>
      <c r="B503">
        <v>120.14</v>
      </c>
      <c r="C503" t="s">
        <v>419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1</v>
      </c>
      <c r="CR503">
        <v>1</v>
      </c>
      <c r="CS503">
        <v>0</v>
      </c>
      <c r="CT503">
        <v>0</v>
      </c>
      <c r="CU503">
        <v>1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0</v>
      </c>
      <c r="DI503">
        <v>0</v>
      </c>
      <c r="DJ503">
        <v>0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0</v>
      </c>
      <c r="DQ503">
        <v>0</v>
      </c>
      <c r="DR503">
        <v>0</v>
      </c>
      <c r="DS503">
        <v>0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  <c r="EI503">
        <v>0</v>
      </c>
    </row>
    <row r="504" spans="1:139" x14ac:dyDescent="0.2">
      <c r="A504">
        <v>139</v>
      </c>
      <c r="B504">
        <v>117.17</v>
      </c>
      <c r="C504" t="s">
        <v>420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1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1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1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0</v>
      </c>
      <c r="DC504">
        <v>0</v>
      </c>
      <c r="DD504">
        <v>0</v>
      </c>
      <c r="DE504">
        <v>0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0</v>
      </c>
      <c r="DR504">
        <v>0</v>
      </c>
      <c r="DS504">
        <v>0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</row>
    <row r="505" spans="1:139" x14ac:dyDescent="0.2">
      <c r="A505">
        <v>139</v>
      </c>
      <c r="B505" t="s">
        <v>139</v>
      </c>
      <c r="C505" t="s">
        <v>421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1</v>
      </c>
      <c r="Y505">
        <v>0</v>
      </c>
      <c r="Z505">
        <v>0</v>
      </c>
      <c r="AA505">
        <v>1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1</v>
      </c>
      <c r="CR505">
        <v>0</v>
      </c>
      <c r="CS505">
        <v>0</v>
      </c>
      <c r="CT505">
        <v>1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0</v>
      </c>
      <c r="DE505">
        <v>0</v>
      </c>
      <c r="DF505">
        <v>0</v>
      </c>
      <c r="DG505">
        <v>0</v>
      </c>
      <c r="DH505">
        <v>0</v>
      </c>
      <c r="DI505">
        <v>0</v>
      </c>
      <c r="DJ505">
        <v>0</v>
      </c>
      <c r="DK505">
        <v>0</v>
      </c>
      <c r="DL505">
        <v>1</v>
      </c>
      <c r="DM505">
        <v>0</v>
      </c>
      <c r="DN505">
        <v>0</v>
      </c>
      <c r="DO505">
        <v>0</v>
      </c>
      <c r="DP505">
        <v>1</v>
      </c>
      <c r="DQ505">
        <v>0</v>
      </c>
      <c r="DR505">
        <v>0</v>
      </c>
      <c r="DS505">
        <v>0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0</v>
      </c>
      <c r="EI505">
        <v>0</v>
      </c>
    </row>
    <row r="506" spans="1:139" x14ac:dyDescent="0.2">
      <c r="A506">
        <v>140</v>
      </c>
      <c r="B506">
        <v>117.17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</row>
    <row r="507" spans="1:139" x14ac:dyDescent="0.2">
      <c r="A507">
        <v>140</v>
      </c>
      <c r="B507">
        <v>120.17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0</v>
      </c>
      <c r="DE507">
        <v>0</v>
      </c>
      <c r="DF507">
        <v>0</v>
      </c>
      <c r="DG507">
        <v>0</v>
      </c>
      <c r="DH507">
        <v>0</v>
      </c>
      <c r="DI507">
        <v>0</v>
      </c>
      <c r="DJ507">
        <v>0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0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0</v>
      </c>
      <c r="EG507">
        <v>0</v>
      </c>
      <c r="EH507">
        <v>0</v>
      </c>
      <c r="EI507">
        <v>0</v>
      </c>
    </row>
    <row r="508" spans="1:139" x14ac:dyDescent="0.2">
      <c r="A508">
        <v>140</v>
      </c>
      <c r="B508" t="s">
        <v>139</v>
      </c>
      <c r="C508" t="s">
        <v>422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  <c r="CX508">
        <v>0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0</v>
      </c>
      <c r="DH508">
        <v>0</v>
      </c>
      <c r="DI508">
        <v>0</v>
      </c>
      <c r="DJ508">
        <v>0</v>
      </c>
      <c r="DK508">
        <v>0</v>
      </c>
      <c r="DL508">
        <v>0</v>
      </c>
      <c r="DM508">
        <v>0</v>
      </c>
      <c r="DN508">
        <v>0</v>
      </c>
      <c r="DO508">
        <v>0</v>
      </c>
      <c r="DP508">
        <v>0</v>
      </c>
      <c r="DQ508">
        <v>0</v>
      </c>
      <c r="DR508">
        <v>0</v>
      </c>
      <c r="DS508">
        <v>0</v>
      </c>
      <c r="DT508">
        <v>0</v>
      </c>
      <c r="DU508">
        <v>0</v>
      </c>
      <c r="DV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  <c r="EI508">
        <v>0</v>
      </c>
    </row>
    <row r="509" spans="1:139" x14ac:dyDescent="0.2">
      <c r="A509">
        <v>140</v>
      </c>
      <c r="B509">
        <v>120.14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</row>
    <row r="510" spans="1:139" x14ac:dyDescent="0.2">
      <c r="A510">
        <v>141</v>
      </c>
      <c r="B510" t="s">
        <v>139</v>
      </c>
      <c r="C510" t="s">
        <v>423</v>
      </c>
      <c r="D510">
        <v>0</v>
      </c>
      <c r="E510">
        <v>0</v>
      </c>
      <c r="F510">
        <v>0</v>
      </c>
      <c r="G510">
        <v>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0</v>
      </c>
      <c r="DQ510">
        <v>0</v>
      </c>
      <c r="DR510">
        <v>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</row>
    <row r="511" spans="1:139" x14ac:dyDescent="0.2">
      <c r="A511">
        <v>141</v>
      </c>
      <c r="B511">
        <v>117.17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1</v>
      </c>
      <c r="AH511">
        <v>0</v>
      </c>
      <c r="AI511">
        <v>0</v>
      </c>
      <c r="AJ511">
        <v>0</v>
      </c>
      <c r="AK511">
        <v>0</v>
      </c>
      <c r="AL511">
        <v>1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0</v>
      </c>
      <c r="DB511">
        <v>0</v>
      </c>
      <c r="DC511">
        <v>0</v>
      </c>
      <c r="DD511">
        <v>0</v>
      </c>
      <c r="DE511">
        <v>0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0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  <c r="EI511">
        <v>0</v>
      </c>
    </row>
    <row r="512" spans="1:139" x14ac:dyDescent="0.2">
      <c r="A512">
        <v>141</v>
      </c>
      <c r="B512">
        <v>120.14</v>
      </c>
      <c r="C512" t="s">
        <v>425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0</v>
      </c>
      <c r="DD512">
        <v>0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0</v>
      </c>
      <c r="DQ512">
        <v>0</v>
      </c>
      <c r="DR512">
        <v>0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  <c r="EI512">
        <v>0</v>
      </c>
    </row>
    <row r="513" spans="1:139" x14ac:dyDescent="0.2">
      <c r="A513">
        <v>141</v>
      </c>
      <c r="B513">
        <v>120.17</v>
      </c>
      <c r="C513" t="s">
        <v>164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</row>
    <row r="514" spans="1:139" x14ac:dyDescent="0.2">
      <c r="A514">
        <v>142</v>
      </c>
      <c r="B514">
        <v>120.14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0</v>
      </c>
      <c r="DE514">
        <v>0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0</v>
      </c>
      <c r="DR514">
        <v>0</v>
      </c>
      <c r="DS514">
        <v>0</v>
      </c>
      <c r="DT514">
        <v>0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</row>
    <row r="515" spans="1:139" x14ac:dyDescent="0.2">
      <c r="A515">
        <v>142</v>
      </c>
      <c r="B515" t="s">
        <v>139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0</v>
      </c>
      <c r="DC515">
        <v>0</v>
      </c>
      <c r="DD515">
        <v>0</v>
      </c>
      <c r="DE515">
        <v>0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0</v>
      </c>
      <c r="DM515">
        <v>0</v>
      </c>
      <c r="DN515">
        <v>0</v>
      </c>
      <c r="DO515">
        <v>0</v>
      </c>
      <c r="DP515">
        <v>0</v>
      </c>
      <c r="DQ515">
        <v>0</v>
      </c>
      <c r="DR515">
        <v>0</v>
      </c>
      <c r="DS515">
        <v>0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0</v>
      </c>
      <c r="EF515">
        <v>0</v>
      </c>
      <c r="EG515">
        <v>0</v>
      </c>
      <c r="EH515">
        <v>0</v>
      </c>
      <c r="EI515">
        <v>0</v>
      </c>
    </row>
    <row r="516" spans="1:139" x14ac:dyDescent="0.2">
      <c r="A516">
        <v>142</v>
      </c>
      <c r="B516">
        <v>120.17</v>
      </c>
      <c r="C516" t="s">
        <v>193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1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0</v>
      </c>
      <c r="DF516">
        <v>0</v>
      </c>
      <c r="DG516">
        <v>0</v>
      </c>
      <c r="DH516">
        <v>0</v>
      </c>
      <c r="DI516">
        <v>0</v>
      </c>
      <c r="DJ516">
        <v>0</v>
      </c>
      <c r="DK516">
        <v>0</v>
      </c>
      <c r="DL516">
        <v>0</v>
      </c>
      <c r="DM516">
        <v>0</v>
      </c>
      <c r="DN516">
        <v>0</v>
      </c>
      <c r="DO516">
        <v>0</v>
      </c>
      <c r="DP516">
        <v>0</v>
      </c>
      <c r="DQ516">
        <v>0</v>
      </c>
      <c r="DR516">
        <v>0</v>
      </c>
      <c r="DS516">
        <v>0</v>
      </c>
      <c r="DT516">
        <v>0</v>
      </c>
      <c r="DU516">
        <v>0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0</v>
      </c>
      <c r="EF516">
        <v>0</v>
      </c>
      <c r="EG516">
        <v>0</v>
      </c>
      <c r="EH516">
        <v>0</v>
      </c>
      <c r="EI516">
        <v>0</v>
      </c>
    </row>
    <row r="517" spans="1:139" x14ac:dyDescent="0.2">
      <c r="A517">
        <v>142</v>
      </c>
      <c r="B517">
        <v>117.17</v>
      </c>
      <c r="C517" t="s">
        <v>170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1</v>
      </c>
      <c r="CR517">
        <v>0</v>
      </c>
      <c r="CS517">
        <v>0</v>
      </c>
      <c r="CT517">
        <v>1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  <c r="DA517">
        <v>0</v>
      </c>
      <c r="DB517">
        <v>0</v>
      </c>
      <c r="DC517">
        <v>0</v>
      </c>
      <c r="DD517">
        <v>0</v>
      </c>
      <c r="DE517">
        <v>0</v>
      </c>
      <c r="DF517">
        <v>0</v>
      </c>
      <c r="DG517">
        <v>0</v>
      </c>
      <c r="DH517">
        <v>0</v>
      </c>
      <c r="DI517">
        <v>0</v>
      </c>
      <c r="DJ517">
        <v>0</v>
      </c>
      <c r="DK517">
        <v>0</v>
      </c>
      <c r="DL517">
        <v>0</v>
      </c>
      <c r="DM517">
        <v>0</v>
      </c>
      <c r="DN517">
        <v>0</v>
      </c>
      <c r="DO517">
        <v>0</v>
      </c>
      <c r="DP517">
        <v>0</v>
      </c>
      <c r="DQ517">
        <v>0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0</v>
      </c>
      <c r="ED517">
        <v>0</v>
      </c>
      <c r="EE517">
        <v>0</v>
      </c>
      <c r="EF517">
        <v>0</v>
      </c>
      <c r="EG517">
        <v>0</v>
      </c>
      <c r="EH517">
        <v>0</v>
      </c>
      <c r="EI517">
        <v>0</v>
      </c>
    </row>
    <row r="518" spans="1:139" x14ac:dyDescent="0.2">
      <c r="A518">
        <v>143</v>
      </c>
      <c r="B518">
        <v>120.17</v>
      </c>
      <c r="C518" t="s">
        <v>164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0</v>
      </c>
      <c r="DB518">
        <v>0</v>
      </c>
      <c r="DC518">
        <v>0</v>
      </c>
      <c r="DD518">
        <v>0</v>
      </c>
      <c r="DE518">
        <v>0</v>
      </c>
      <c r="DF518">
        <v>0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0</v>
      </c>
      <c r="DQ518">
        <v>0</v>
      </c>
      <c r="DR518">
        <v>0</v>
      </c>
      <c r="DS518">
        <v>0</v>
      </c>
      <c r="DT518">
        <v>0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</row>
    <row r="519" spans="1:139" x14ac:dyDescent="0.2">
      <c r="A519">
        <v>143</v>
      </c>
      <c r="B519">
        <v>120.14</v>
      </c>
      <c r="C519" t="s">
        <v>158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1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0</v>
      </c>
      <c r="DC519">
        <v>0</v>
      </c>
      <c r="DD519">
        <v>0</v>
      </c>
      <c r="DE519">
        <v>0</v>
      </c>
      <c r="DF519">
        <v>0</v>
      </c>
      <c r="DG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0</v>
      </c>
      <c r="DR519">
        <v>0</v>
      </c>
      <c r="DS519">
        <v>0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</row>
    <row r="520" spans="1:139" x14ac:dyDescent="0.2">
      <c r="A520">
        <v>143</v>
      </c>
      <c r="B520">
        <v>117.17</v>
      </c>
      <c r="C520" t="s">
        <v>193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1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0</v>
      </c>
      <c r="DC520">
        <v>0</v>
      </c>
      <c r="DD520">
        <v>0</v>
      </c>
      <c r="DE520">
        <v>0</v>
      </c>
      <c r="DF520">
        <v>0</v>
      </c>
      <c r="DG520">
        <v>0</v>
      </c>
      <c r="DH520">
        <v>0</v>
      </c>
      <c r="DI520">
        <v>0</v>
      </c>
      <c r="DJ520">
        <v>0</v>
      </c>
      <c r="DK520">
        <v>0</v>
      </c>
      <c r="DL520">
        <v>0</v>
      </c>
      <c r="DM520">
        <v>0</v>
      </c>
      <c r="DN520">
        <v>0</v>
      </c>
      <c r="DO520">
        <v>0</v>
      </c>
      <c r="DP520">
        <v>0</v>
      </c>
      <c r="DQ520">
        <v>0</v>
      </c>
      <c r="DR520">
        <v>0</v>
      </c>
      <c r="DS520">
        <v>0</v>
      </c>
      <c r="DT520">
        <v>0</v>
      </c>
      <c r="DU520">
        <v>0</v>
      </c>
      <c r="DV520">
        <v>0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0</v>
      </c>
      <c r="EI520">
        <v>0</v>
      </c>
    </row>
    <row r="521" spans="1:139" x14ac:dyDescent="0.2">
      <c r="A521">
        <v>143</v>
      </c>
      <c r="B521" t="s">
        <v>139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</row>
    <row r="522" spans="1:139" x14ac:dyDescent="0.2">
      <c r="A522">
        <v>144</v>
      </c>
      <c r="B522">
        <v>117.17</v>
      </c>
      <c r="C522" t="s">
        <v>335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1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0</v>
      </c>
      <c r="DE522">
        <v>0</v>
      </c>
      <c r="DF522">
        <v>0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0</v>
      </c>
      <c r="DS522">
        <v>0</v>
      </c>
      <c r="DT522">
        <v>0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0</v>
      </c>
    </row>
    <row r="523" spans="1:139" x14ac:dyDescent="0.2">
      <c r="A523">
        <v>144</v>
      </c>
      <c r="B523">
        <v>120.17</v>
      </c>
      <c r="C523" t="s">
        <v>308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1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0</v>
      </c>
      <c r="DB523">
        <v>0</v>
      </c>
      <c r="DC523">
        <v>0</v>
      </c>
      <c r="DD523">
        <v>0</v>
      </c>
      <c r="DE523">
        <v>0</v>
      </c>
      <c r="DF523">
        <v>0</v>
      </c>
      <c r="DG523">
        <v>0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0</v>
      </c>
      <c r="DN523">
        <v>0</v>
      </c>
      <c r="DO523">
        <v>0</v>
      </c>
      <c r="DP523">
        <v>0</v>
      </c>
      <c r="DQ523">
        <v>0</v>
      </c>
      <c r="DR523">
        <v>0</v>
      </c>
      <c r="DS523">
        <v>0</v>
      </c>
      <c r="DT523">
        <v>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  <c r="EI523">
        <v>0</v>
      </c>
    </row>
    <row r="524" spans="1:139" x14ac:dyDescent="0.2">
      <c r="A524">
        <v>144</v>
      </c>
      <c r="B524" t="s">
        <v>139</v>
      </c>
      <c r="C524" t="s">
        <v>308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1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0</v>
      </c>
      <c r="CS524">
        <v>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0</v>
      </c>
      <c r="DE524">
        <v>0</v>
      </c>
      <c r="DF524">
        <v>0</v>
      </c>
      <c r="DG524">
        <v>0</v>
      </c>
      <c r="DH524">
        <v>0</v>
      </c>
      <c r="DI524">
        <v>0</v>
      </c>
      <c r="DJ524">
        <v>0</v>
      </c>
      <c r="DK524">
        <v>0</v>
      </c>
      <c r="DL524">
        <v>0</v>
      </c>
      <c r="DM524">
        <v>0</v>
      </c>
      <c r="DN524">
        <v>0</v>
      </c>
      <c r="DO524">
        <v>0</v>
      </c>
      <c r="DP524">
        <v>0</v>
      </c>
      <c r="DQ524">
        <v>0</v>
      </c>
      <c r="DR524">
        <v>0</v>
      </c>
      <c r="DS524">
        <v>0</v>
      </c>
      <c r="DT524">
        <v>0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0</v>
      </c>
      <c r="EF524">
        <v>0</v>
      </c>
      <c r="EG524">
        <v>0</v>
      </c>
      <c r="EH524">
        <v>0</v>
      </c>
      <c r="EI524">
        <v>0</v>
      </c>
    </row>
    <row r="525" spans="1:139" x14ac:dyDescent="0.2">
      <c r="A525">
        <v>144</v>
      </c>
      <c r="B525">
        <v>120.14</v>
      </c>
      <c r="C525" t="s">
        <v>206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1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0</v>
      </c>
      <c r="DB525">
        <v>0</v>
      </c>
      <c r="DC525">
        <v>0</v>
      </c>
      <c r="DD525">
        <v>0</v>
      </c>
      <c r="DE525">
        <v>0</v>
      </c>
      <c r="DF525">
        <v>0</v>
      </c>
      <c r="DG525">
        <v>0</v>
      </c>
      <c r="DH525">
        <v>0</v>
      </c>
      <c r="DI525">
        <v>0</v>
      </c>
      <c r="DJ525">
        <v>0</v>
      </c>
      <c r="DK525">
        <v>0</v>
      </c>
      <c r="DL525">
        <v>0</v>
      </c>
      <c r="DM525">
        <v>0</v>
      </c>
      <c r="DN525">
        <v>0</v>
      </c>
      <c r="DO525">
        <v>0</v>
      </c>
      <c r="DP525">
        <v>0</v>
      </c>
      <c r="DQ525">
        <v>0</v>
      </c>
      <c r="DR525">
        <v>0</v>
      </c>
      <c r="DS525">
        <v>0</v>
      </c>
      <c r="DT525">
        <v>0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0</v>
      </c>
      <c r="EG525">
        <v>0</v>
      </c>
      <c r="EH525">
        <v>0</v>
      </c>
      <c r="EI525">
        <v>0</v>
      </c>
    </row>
    <row r="526" spans="1:139" x14ac:dyDescent="0.2">
      <c r="A526">
        <v>145</v>
      </c>
      <c r="B526" t="s">
        <v>139</v>
      </c>
      <c r="C526" t="s">
        <v>426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0</v>
      </c>
      <c r="DR526">
        <v>0</v>
      </c>
      <c r="DS526">
        <v>1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1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0</v>
      </c>
    </row>
    <row r="527" spans="1:139" x14ac:dyDescent="0.2">
      <c r="A527">
        <v>145</v>
      </c>
      <c r="B527">
        <v>117.17</v>
      </c>
      <c r="C527" t="s">
        <v>205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0</v>
      </c>
      <c r="DD527">
        <v>0</v>
      </c>
      <c r="DE527">
        <v>0</v>
      </c>
      <c r="DF527">
        <v>0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0</v>
      </c>
      <c r="DR527">
        <v>0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0</v>
      </c>
      <c r="EF527">
        <v>0</v>
      </c>
      <c r="EG527">
        <v>0</v>
      </c>
      <c r="EH527">
        <v>0</v>
      </c>
      <c r="EI527">
        <v>0</v>
      </c>
    </row>
    <row r="528" spans="1:139" x14ac:dyDescent="0.2">
      <c r="A528">
        <v>145</v>
      </c>
      <c r="B528">
        <v>120.14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0</v>
      </c>
    </row>
    <row r="529" spans="1:139" x14ac:dyDescent="0.2">
      <c r="A529">
        <v>145</v>
      </c>
      <c r="B529">
        <v>120.17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0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0</v>
      </c>
      <c r="DA529">
        <v>0</v>
      </c>
      <c r="DB529">
        <v>0</v>
      </c>
      <c r="DC529">
        <v>0</v>
      </c>
      <c r="DD529">
        <v>0</v>
      </c>
      <c r="DE529">
        <v>0</v>
      </c>
      <c r="DF529">
        <v>0</v>
      </c>
      <c r="DG529">
        <v>0</v>
      </c>
      <c r="DH529">
        <v>0</v>
      </c>
      <c r="DI529">
        <v>0</v>
      </c>
      <c r="DJ529">
        <v>0</v>
      </c>
      <c r="DK529">
        <v>0</v>
      </c>
      <c r="DL529">
        <v>0</v>
      </c>
      <c r="DM529">
        <v>0</v>
      </c>
      <c r="DN529">
        <v>0</v>
      </c>
      <c r="DO529">
        <v>0</v>
      </c>
      <c r="DP529">
        <v>0</v>
      </c>
      <c r="DQ529">
        <v>0</v>
      </c>
      <c r="DR529">
        <v>0</v>
      </c>
      <c r="DS529">
        <v>0</v>
      </c>
      <c r="DT529">
        <v>0</v>
      </c>
      <c r="DU529">
        <v>0</v>
      </c>
      <c r="DV529">
        <v>0</v>
      </c>
      <c r="DW529">
        <v>0</v>
      </c>
      <c r="DX529">
        <v>0</v>
      </c>
      <c r="DY529">
        <v>0</v>
      </c>
      <c r="DZ529">
        <v>0</v>
      </c>
      <c r="EA529">
        <v>0</v>
      </c>
      <c r="EB529">
        <v>0</v>
      </c>
      <c r="EC529">
        <v>0</v>
      </c>
      <c r="ED529">
        <v>0</v>
      </c>
      <c r="EE529">
        <v>0</v>
      </c>
      <c r="EF529">
        <v>0</v>
      </c>
      <c r="EG529">
        <v>0</v>
      </c>
      <c r="EH529">
        <v>0</v>
      </c>
      <c r="EI529">
        <v>0</v>
      </c>
    </row>
    <row r="530" spans="1:139" x14ac:dyDescent="0.2">
      <c r="A530">
        <v>146</v>
      </c>
      <c r="B530">
        <v>120.14</v>
      </c>
      <c r="C530" t="s">
        <v>427</v>
      </c>
      <c r="D530">
        <v>0</v>
      </c>
      <c r="E530">
        <v>0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1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1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0</v>
      </c>
      <c r="DA530">
        <v>0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0</v>
      </c>
      <c r="DO530">
        <v>0</v>
      </c>
      <c r="DP530">
        <v>0</v>
      </c>
      <c r="DQ530">
        <v>0</v>
      </c>
      <c r="DR530">
        <v>0</v>
      </c>
      <c r="DS530">
        <v>0</v>
      </c>
      <c r="DT530">
        <v>0</v>
      </c>
      <c r="DU530">
        <v>0</v>
      </c>
      <c r="DV530">
        <v>0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0</v>
      </c>
      <c r="EE530">
        <v>0</v>
      </c>
      <c r="EF530">
        <v>0</v>
      </c>
      <c r="EG530">
        <v>0</v>
      </c>
      <c r="EH530">
        <v>0</v>
      </c>
      <c r="EI530">
        <v>0</v>
      </c>
    </row>
    <row r="531" spans="1:139" x14ac:dyDescent="0.2">
      <c r="A531">
        <v>146</v>
      </c>
      <c r="B531" t="s">
        <v>139</v>
      </c>
      <c r="C531" t="s">
        <v>428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1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1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0</v>
      </c>
      <c r="DB531">
        <v>0</v>
      </c>
      <c r="DC531">
        <v>0</v>
      </c>
      <c r="DD531">
        <v>0</v>
      </c>
      <c r="DE531">
        <v>0</v>
      </c>
      <c r="DF531">
        <v>0</v>
      </c>
      <c r="DG531">
        <v>0</v>
      </c>
      <c r="DH531">
        <v>0</v>
      </c>
      <c r="DI531">
        <v>0</v>
      </c>
      <c r="DJ531">
        <v>0</v>
      </c>
      <c r="DK531">
        <v>0</v>
      </c>
      <c r="DL531">
        <v>0</v>
      </c>
      <c r="DM531">
        <v>0</v>
      </c>
      <c r="DN531">
        <v>0</v>
      </c>
      <c r="DO531">
        <v>0</v>
      </c>
      <c r="DP531">
        <v>0</v>
      </c>
      <c r="DQ531">
        <v>0</v>
      </c>
      <c r="DR531">
        <v>0</v>
      </c>
      <c r="DS531">
        <v>0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0</v>
      </c>
      <c r="EE531">
        <v>1</v>
      </c>
      <c r="EF531">
        <v>0</v>
      </c>
      <c r="EG531">
        <v>0</v>
      </c>
      <c r="EH531">
        <v>0</v>
      </c>
      <c r="EI531">
        <v>0</v>
      </c>
    </row>
    <row r="532" spans="1:139" x14ac:dyDescent="0.2">
      <c r="A532">
        <v>146</v>
      </c>
      <c r="B532">
        <v>120.17</v>
      </c>
      <c r="C532" t="s">
        <v>429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1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1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0</v>
      </c>
      <c r="DE532">
        <v>0</v>
      </c>
      <c r="DF532">
        <v>0</v>
      </c>
      <c r="DG532">
        <v>0</v>
      </c>
      <c r="DH532">
        <v>0</v>
      </c>
      <c r="DI532">
        <v>0</v>
      </c>
      <c r="DJ532">
        <v>0</v>
      </c>
      <c r="DK532">
        <v>0</v>
      </c>
      <c r="DL532">
        <v>0</v>
      </c>
      <c r="DM532">
        <v>0</v>
      </c>
      <c r="DN532">
        <v>0</v>
      </c>
      <c r="DO532">
        <v>0</v>
      </c>
      <c r="DP532">
        <v>0</v>
      </c>
      <c r="DQ532">
        <v>0</v>
      </c>
      <c r="DR532">
        <v>0</v>
      </c>
      <c r="DS532">
        <v>0</v>
      </c>
      <c r="DT532">
        <v>0</v>
      </c>
      <c r="DU532">
        <v>0</v>
      </c>
      <c r="DV532">
        <v>0</v>
      </c>
      <c r="DW532">
        <v>0</v>
      </c>
      <c r="DX532">
        <v>0</v>
      </c>
      <c r="DY532">
        <v>0</v>
      </c>
      <c r="DZ532">
        <v>0</v>
      </c>
      <c r="EA532">
        <v>0</v>
      </c>
      <c r="EB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  <c r="EI532">
        <v>0</v>
      </c>
    </row>
    <row r="533" spans="1:139" x14ac:dyDescent="0.2">
      <c r="A533">
        <v>146</v>
      </c>
      <c r="B533">
        <v>117.17</v>
      </c>
      <c r="C533" t="s">
        <v>430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0</v>
      </c>
      <c r="Z533">
        <v>0</v>
      </c>
      <c r="AA533">
        <v>1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1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</row>
    <row r="534" spans="1:139" x14ac:dyDescent="0.2">
      <c r="A534">
        <v>147</v>
      </c>
      <c r="B534">
        <v>120.17</v>
      </c>
      <c r="C534" t="s">
        <v>164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0</v>
      </c>
      <c r="DQ534">
        <v>0</v>
      </c>
      <c r="DR534">
        <v>0</v>
      </c>
      <c r="DS534">
        <v>0</v>
      </c>
      <c r="DT534">
        <v>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0</v>
      </c>
    </row>
    <row r="535" spans="1:139" x14ac:dyDescent="0.2">
      <c r="A535">
        <v>147</v>
      </c>
      <c r="B535">
        <v>120.14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0</v>
      </c>
      <c r="DH535">
        <v>0</v>
      </c>
      <c r="DI535">
        <v>0</v>
      </c>
      <c r="DJ535">
        <v>0</v>
      </c>
      <c r="DK535">
        <v>0</v>
      </c>
      <c r="DL535">
        <v>0</v>
      </c>
      <c r="DM535">
        <v>0</v>
      </c>
      <c r="DN535">
        <v>0</v>
      </c>
      <c r="DO535">
        <v>0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</row>
    <row r="536" spans="1:139" x14ac:dyDescent="0.2">
      <c r="A536">
        <v>147</v>
      </c>
      <c r="B536">
        <v>117.17</v>
      </c>
      <c r="C536" t="s">
        <v>164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0</v>
      </c>
      <c r="DB536">
        <v>0</v>
      </c>
      <c r="DC536">
        <v>0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</row>
    <row r="537" spans="1:139" x14ac:dyDescent="0.2">
      <c r="A537">
        <v>147</v>
      </c>
      <c r="B537" t="s">
        <v>139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0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</row>
    <row r="538" spans="1:139" x14ac:dyDescent="0.2">
      <c r="A538">
        <v>148</v>
      </c>
      <c r="B538">
        <v>117.17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>
        <v>0</v>
      </c>
      <c r="CS538">
        <v>0</v>
      </c>
      <c r="CT538">
        <v>0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0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</row>
    <row r="539" spans="1:139" x14ac:dyDescent="0.2">
      <c r="A539">
        <v>148</v>
      </c>
      <c r="B539">
        <v>120.17</v>
      </c>
      <c r="C539" t="s">
        <v>164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0</v>
      </c>
      <c r="DE539">
        <v>0</v>
      </c>
      <c r="DF539">
        <v>0</v>
      </c>
      <c r="DG539">
        <v>0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0</v>
      </c>
      <c r="DQ539">
        <v>0</v>
      </c>
      <c r="DR539">
        <v>0</v>
      </c>
      <c r="DS539">
        <v>0</v>
      </c>
      <c r="DT539">
        <v>0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</row>
    <row r="540" spans="1:139" x14ac:dyDescent="0.2">
      <c r="A540">
        <v>148</v>
      </c>
      <c r="B540" t="s">
        <v>139</v>
      </c>
      <c r="C540" t="s">
        <v>150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1</v>
      </c>
      <c r="AH540">
        <v>0</v>
      </c>
      <c r="AI540">
        <v>0</v>
      </c>
      <c r="AJ540">
        <v>0</v>
      </c>
      <c r="AK540">
        <v>0</v>
      </c>
      <c r="AL540">
        <v>1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0</v>
      </c>
      <c r="DD540">
        <v>0</v>
      </c>
      <c r="DE540">
        <v>0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0</v>
      </c>
      <c r="DQ540">
        <v>0</v>
      </c>
      <c r="DR540">
        <v>0</v>
      </c>
      <c r="DS540">
        <v>0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  <c r="EI540">
        <v>0</v>
      </c>
    </row>
    <row r="541" spans="1:139" x14ac:dyDescent="0.2">
      <c r="A541">
        <v>148</v>
      </c>
      <c r="B541">
        <v>120.14</v>
      </c>
      <c r="C541" t="s">
        <v>224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1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0</v>
      </c>
      <c r="DC541">
        <v>0</v>
      </c>
      <c r="DD541">
        <v>0</v>
      </c>
      <c r="DE541">
        <v>0</v>
      </c>
      <c r="DF541">
        <v>0</v>
      </c>
      <c r="DG541">
        <v>0</v>
      </c>
      <c r="DH541">
        <v>0</v>
      </c>
      <c r="DI541">
        <v>0</v>
      </c>
      <c r="DJ541">
        <v>0</v>
      </c>
      <c r="DK541">
        <v>0</v>
      </c>
      <c r="DL541">
        <v>0</v>
      </c>
      <c r="DM541">
        <v>0</v>
      </c>
      <c r="DN541">
        <v>0</v>
      </c>
      <c r="DO541">
        <v>0</v>
      </c>
      <c r="DP541">
        <v>0</v>
      </c>
      <c r="DQ541">
        <v>0</v>
      </c>
      <c r="DR541">
        <v>0</v>
      </c>
      <c r="DS541">
        <v>0</v>
      </c>
      <c r="DT541">
        <v>0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0</v>
      </c>
      <c r="ED541">
        <v>0</v>
      </c>
      <c r="EE541">
        <v>0</v>
      </c>
      <c r="EF541">
        <v>0</v>
      </c>
      <c r="EG541">
        <v>0</v>
      </c>
      <c r="EH541">
        <v>0</v>
      </c>
      <c r="EI541">
        <v>0</v>
      </c>
    </row>
    <row r="542" spans="1:139" x14ac:dyDescent="0.2">
      <c r="A542">
        <v>158</v>
      </c>
      <c r="B542">
        <v>120.14</v>
      </c>
      <c r="C542" t="s">
        <v>164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0</v>
      </c>
      <c r="DB542">
        <v>0</v>
      </c>
      <c r="DC542">
        <v>0</v>
      </c>
      <c r="DD542">
        <v>0</v>
      </c>
      <c r="DE542">
        <v>0</v>
      </c>
      <c r="DF542">
        <v>0</v>
      </c>
      <c r="DG542">
        <v>0</v>
      </c>
      <c r="DH542">
        <v>0</v>
      </c>
      <c r="DI542">
        <v>0</v>
      </c>
      <c r="DJ542">
        <v>0</v>
      </c>
      <c r="DK542">
        <v>0</v>
      </c>
      <c r="DL542">
        <v>0</v>
      </c>
      <c r="DM542">
        <v>0</v>
      </c>
      <c r="DN542">
        <v>0</v>
      </c>
      <c r="DO542">
        <v>0</v>
      </c>
      <c r="DP542">
        <v>0</v>
      </c>
      <c r="DQ542">
        <v>0</v>
      </c>
      <c r="DR542">
        <v>0</v>
      </c>
      <c r="DS542">
        <v>0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0</v>
      </c>
      <c r="EG542">
        <v>0</v>
      </c>
      <c r="EH542">
        <v>0</v>
      </c>
      <c r="EI542">
        <v>0</v>
      </c>
    </row>
    <row r="543" spans="1:139" x14ac:dyDescent="0.2">
      <c r="A543">
        <v>158</v>
      </c>
      <c r="B543" t="s">
        <v>139</v>
      </c>
      <c r="C543" t="s">
        <v>164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0</v>
      </c>
      <c r="DB543">
        <v>0</v>
      </c>
      <c r="DC543">
        <v>0</v>
      </c>
      <c r="DD543">
        <v>0</v>
      </c>
      <c r="DE543">
        <v>0</v>
      </c>
      <c r="DF543">
        <v>0</v>
      </c>
      <c r="DG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0</v>
      </c>
      <c r="DQ543">
        <v>0</v>
      </c>
      <c r="DR543">
        <v>0</v>
      </c>
      <c r="DS543">
        <v>0</v>
      </c>
      <c r="DT543">
        <v>0</v>
      </c>
      <c r="DU543">
        <v>0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  <c r="EI543">
        <v>0</v>
      </c>
    </row>
    <row r="544" spans="1:139" x14ac:dyDescent="0.2">
      <c r="A544">
        <v>158</v>
      </c>
      <c r="B544">
        <v>120.17</v>
      </c>
      <c r="C544" t="s">
        <v>204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0</v>
      </c>
      <c r="DO544">
        <v>0</v>
      </c>
      <c r="DP544">
        <v>0</v>
      </c>
      <c r="DQ544">
        <v>0</v>
      </c>
      <c r="DR544">
        <v>0</v>
      </c>
      <c r="DS544">
        <v>0</v>
      </c>
      <c r="DT544">
        <v>0</v>
      </c>
      <c r="DU544">
        <v>0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</row>
    <row r="545" spans="1:139" x14ac:dyDescent="0.2">
      <c r="A545">
        <v>158</v>
      </c>
      <c r="B545">
        <v>117.17</v>
      </c>
      <c r="C545" t="s">
        <v>431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1</v>
      </c>
      <c r="AT545">
        <v>0</v>
      </c>
      <c r="AU545">
        <v>0</v>
      </c>
      <c r="AV545">
        <v>1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</row>
    <row r="546" spans="1:139" x14ac:dyDescent="0.2">
      <c r="A546">
        <v>159</v>
      </c>
      <c r="B546">
        <v>120.17</v>
      </c>
      <c r="C546" t="s">
        <v>164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0</v>
      </c>
      <c r="DE546">
        <v>0</v>
      </c>
      <c r="DF546">
        <v>0</v>
      </c>
      <c r="DG546">
        <v>0</v>
      </c>
      <c r="DH546">
        <v>0</v>
      </c>
      <c r="DI546">
        <v>0</v>
      </c>
      <c r="DJ546">
        <v>0</v>
      </c>
      <c r="DK546">
        <v>0</v>
      </c>
      <c r="DL546">
        <v>0</v>
      </c>
      <c r="DM546">
        <v>0</v>
      </c>
      <c r="DN546">
        <v>0</v>
      </c>
      <c r="DO546">
        <v>0</v>
      </c>
      <c r="DP546">
        <v>0</v>
      </c>
      <c r="DQ546">
        <v>0</v>
      </c>
      <c r="DR546">
        <v>0</v>
      </c>
      <c r="DS546">
        <v>0</v>
      </c>
      <c r="DT546">
        <v>0</v>
      </c>
      <c r="DU546">
        <v>0</v>
      </c>
      <c r="DV546">
        <v>0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0</v>
      </c>
      <c r="EC546">
        <v>0</v>
      </c>
      <c r="ED546">
        <v>0</v>
      </c>
      <c r="EE546">
        <v>0</v>
      </c>
      <c r="EF546">
        <v>0</v>
      </c>
      <c r="EG546">
        <v>0</v>
      </c>
      <c r="EH546">
        <v>0</v>
      </c>
      <c r="EI546">
        <v>0</v>
      </c>
    </row>
    <row r="547" spans="1:139" x14ac:dyDescent="0.2">
      <c r="A547">
        <v>159</v>
      </c>
      <c r="B547">
        <v>120.14</v>
      </c>
      <c r="C547" t="s">
        <v>164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0</v>
      </c>
      <c r="DD547">
        <v>0</v>
      </c>
      <c r="DE547">
        <v>0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0</v>
      </c>
      <c r="DP547">
        <v>0</v>
      </c>
      <c r="DQ547">
        <v>0</v>
      </c>
      <c r="DR547">
        <v>0</v>
      </c>
      <c r="DS547">
        <v>0</v>
      </c>
      <c r="DT547">
        <v>0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0</v>
      </c>
      <c r="EG547">
        <v>0</v>
      </c>
      <c r="EH547">
        <v>0</v>
      </c>
      <c r="EI547">
        <v>0</v>
      </c>
    </row>
    <row r="548" spans="1:139" x14ac:dyDescent="0.2">
      <c r="A548">
        <v>159</v>
      </c>
      <c r="B548">
        <v>117.17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0</v>
      </c>
      <c r="DC548">
        <v>0</v>
      </c>
      <c r="DD548">
        <v>0</v>
      </c>
      <c r="DE548">
        <v>0</v>
      </c>
      <c r="DF548">
        <v>0</v>
      </c>
      <c r="DG548">
        <v>0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0</v>
      </c>
      <c r="DN548">
        <v>0</v>
      </c>
      <c r="DO548">
        <v>0</v>
      </c>
      <c r="DP548">
        <v>0</v>
      </c>
      <c r="DQ548">
        <v>0</v>
      </c>
      <c r="DR548">
        <v>0</v>
      </c>
      <c r="DS548">
        <v>0</v>
      </c>
      <c r="DT548">
        <v>0</v>
      </c>
      <c r="DU548">
        <v>0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0</v>
      </c>
      <c r="EG548">
        <v>0</v>
      </c>
      <c r="EH548">
        <v>0</v>
      </c>
      <c r="EI548">
        <v>0</v>
      </c>
    </row>
    <row r="549" spans="1:139" x14ac:dyDescent="0.2">
      <c r="A549">
        <v>159</v>
      </c>
      <c r="B549" t="s">
        <v>139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0</v>
      </c>
      <c r="DB549">
        <v>0</v>
      </c>
      <c r="DC549">
        <v>0</v>
      </c>
      <c r="DD549">
        <v>0</v>
      </c>
      <c r="DE549">
        <v>0</v>
      </c>
      <c r="DF549">
        <v>0</v>
      </c>
      <c r="DG549">
        <v>0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0</v>
      </c>
      <c r="DN549">
        <v>0</v>
      </c>
      <c r="DO549">
        <v>0</v>
      </c>
      <c r="DP549">
        <v>0</v>
      </c>
      <c r="DQ549">
        <v>0</v>
      </c>
      <c r="DR549">
        <v>0</v>
      </c>
      <c r="DS549">
        <v>0</v>
      </c>
      <c r="DT549">
        <v>0</v>
      </c>
      <c r="DU549">
        <v>0</v>
      </c>
      <c r="DV549">
        <v>0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0</v>
      </c>
      <c r="EE549">
        <v>0</v>
      </c>
      <c r="EF549">
        <v>0</v>
      </c>
      <c r="EG549">
        <v>0</v>
      </c>
      <c r="EH549">
        <v>0</v>
      </c>
      <c r="EI549">
        <v>0</v>
      </c>
    </row>
    <row r="550" spans="1:139" x14ac:dyDescent="0.2">
      <c r="A550">
        <v>160</v>
      </c>
      <c r="B550">
        <v>117.17</v>
      </c>
      <c r="C550" t="s">
        <v>432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1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0</v>
      </c>
      <c r="DB550">
        <v>0</v>
      </c>
      <c r="DC550">
        <v>0</v>
      </c>
      <c r="DD550">
        <v>0</v>
      </c>
      <c r="DE550">
        <v>0</v>
      </c>
      <c r="DF550">
        <v>0</v>
      </c>
      <c r="DG550">
        <v>0</v>
      </c>
      <c r="DH550">
        <v>0</v>
      </c>
      <c r="DI550">
        <v>1</v>
      </c>
      <c r="DJ550">
        <v>0</v>
      </c>
      <c r="DK550">
        <v>0</v>
      </c>
      <c r="DL550">
        <v>0</v>
      </c>
      <c r="DM550">
        <v>0</v>
      </c>
      <c r="DN550">
        <v>0</v>
      </c>
      <c r="DO550">
        <v>0</v>
      </c>
      <c r="DP550">
        <v>0</v>
      </c>
      <c r="DQ550">
        <v>0</v>
      </c>
      <c r="DR550">
        <v>0</v>
      </c>
      <c r="DS550">
        <v>0</v>
      </c>
      <c r="DT550">
        <v>0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0</v>
      </c>
      <c r="EF550">
        <v>0</v>
      </c>
      <c r="EG550">
        <v>0</v>
      </c>
      <c r="EH550">
        <v>0</v>
      </c>
      <c r="EI550">
        <v>0</v>
      </c>
    </row>
    <row r="551" spans="1:139" x14ac:dyDescent="0.2">
      <c r="A551">
        <v>160</v>
      </c>
      <c r="B551">
        <v>120.17</v>
      </c>
      <c r="C551" t="s">
        <v>433</v>
      </c>
      <c r="D551">
        <v>0</v>
      </c>
      <c r="E551">
        <v>0</v>
      </c>
      <c r="F551">
        <v>0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1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1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1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0</v>
      </c>
      <c r="DE551">
        <v>0</v>
      </c>
      <c r="DF551">
        <v>0</v>
      </c>
      <c r="DG551">
        <v>0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0</v>
      </c>
      <c r="DQ551">
        <v>0</v>
      </c>
      <c r="DR551">
        <v>0</v>
      </c>
      <c r="DS551">
        <v>0</v>
      </c>
      <c r="DT551">
        <v>0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0</v>
      </c>
      <c r="EF551">
        <v>0</v>
      </c>
      <c r="EG551">
        <v>0</v>
      </c>
      <c r="EH551">
        <v>0</v>
      </c>
      <c r="EI551">
        <v>0</v>
      </c>
    </row>
    <row r="552" spans="1:139" x14ac:dyDescent="0.2">
      <c r="A552">
        <v>160</v>
      </c>
      <c r="B552" t="s">
        <v>139</v>
      </c>
      <c r="C552" t="s">
        <v>434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1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1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0</v>
      </c>
      <c r="DP552">
        <v>0</v>
      </c>
      <c r="DQ552">
        <v>0</v>
      </c>
      <c r="DR552">
        <v>0</v>
      </c>
      <c r="DS552">
        <v>0</v>
      </c>
      <c r="DT552">
        <v>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0</v>
      </c>
      <c r="EG552">
        <v>0</v>
      </c>
      <c r="EH552">
        <v>0</v>
      </c>
      <c r="EI552">
        <v>0</v>
      </c>
    </row>
    <row r="553" spans="1:139" x14ac:dyDescent="0.2">
      <c r="A553">
        <v>160</v>
      </c>
      <c r="B553">
        <v>120.14</v>
      </c>
      <c r="C553" t="s">
        <v>268</v>
      </c>
      <c r="D553">
        <v>0</v>
      </c>
      <c r="E553">
        <v>0</v>
      </c>
      <c r="F553">
        <v>0</v>
      </c>
      <c r="G553">
        <v>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1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0</v>
      </c>
      <c r="DC553">
        <v>0</v>
      </c>
      <c r="DD553">
        <v>0</v>
      </c>
      <c r="DE553">
        <v>0</v>
      </c>
      <c r="DF553">
        <v>0</v>
      </c>
      <c r="DG553">
        <v>0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0</v>
      </c>
      <c r="DN553">
        <v>0</v>
      </c>
      <c r="DO553">
        <v>0</v>
      </c>
      <c r="DP553">
        <v>0</v>
      </c>
      <c r="DQ553">
        <v>0</v>
      </c>
      <c r="DR553">
        <v>0</v>
      </c>
      <c r="DS553">
        <v>0</v>
      </c>
      <c r="DT553">
        <v>0</v>
      </c>
      <c r="DU553">
        <v>0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0</v>
      </c>
      <c r="EB553">
        <v>0</v>
      </c>
      <c r="EC553">
        <v>0</v>
      </c>
      <c r="ED553">
        <v>0</v>
      </c>
      <c r="EE553">
        <v>0</v>
      </c>
      <c r="EF553">
        <v>0</v>
      </c>
      <c r="EG553">
        <v>0</v>
      </c>
      <c r="EH553">
        <v>0</v>
      </c>
      <c r="EI553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AE-57E5-6C46-B5B9-6B572D27BD8B}">
  <sheetPr codeName="Sheet2"/>
  <dimension ref="A1:V553"/>
  <sheetViews>
    <sheetView workbookViewId="0">
      <selection activeCell="V1" sqref="D1:V1"/>
    </sheetView>
  </sheetViews>
  <sheetFormatPr baseColWidth="10" defaultRowHeight="16" x14ac:dyDescent="0.2"/>
  <sheetData>
    <row r="1" spans="1:2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 x14ac:dyDescent="0.2">
      <c r="A2">
        <v>1</v>
      </c>
      <c r="B2" t="s">
        <v>139</v>
      </c>
      <c r="C2" t="s">
        <v>140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2">
      <c r="A3">
        <v>1</v>
      </c>
      <c r="B3">
        <v>117.17</v>
      </c>
      <c r="C3" t="s">
        <v>141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x14ac:dyDescent="0.2">
      <c r="A4">
        <v>1</v>
      </c>
      <c r="B4">
        <v>120.14</v>
      </c>
      <c r="C4" t="s">
        <v>142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x14ac:dyDescent="0.2">
      <c r="A5">
        <v>1</v>
      </c>
      <c r="B5">
        <v>120.17</v>
      </c>
      <c r="C5" t="s">
        <v>143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2">
      <c r="A6">
        <v>3</v>
      </c>
      <c r="B6">
        <v>120.17</v>
      </c>
      <c r="C6" t="s">
        <v>144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</row>
    <row r="7" spans="1:22" x14ac:dyDescent="0.2">
      <c r="A7">
        <v>3</v>
      </c>
      <c r="B7">
        <v>120.14</v>
      </c>
      <c r="C7" t="s">
        <v>145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2">
      <c r="A8">
        <v>3</v>
      </c>
      <c r="B8">
        <v>117.17</v>
      </c>
      <c r="C8" t="s">
        <v>146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0</v>
      </c>
    </row>
    <row r="9" spans="1:22" x14ac:dyDescent="0.2">
      <c r="A9">
        <v>3</v>
      </c>
      <c r="B9" t="s">
        <v>139</v>
      </c>
      <c r="C9" t="s">
        <v>147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2">
      <c r="A10">
        <v>4</v>
      </c>
      <c r="B10">
        <v>117.17</v>
      </c>
      <c r="C10" t="s">
        <v>148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2">
      <c r="A11">
        <v>4</v>
      </c>
      <c r="B11">
        <v>120.17</v>
      </c>
      <c r="C11" t="s">
        <v>149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">
      <c r="A12">
        <v>4</v>
      </c>
      <c r="B12" t="s">
        <v>139</v>
      </c>
      <c r="C12" t="s">
        <v>150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2">
      <c r="A13">
        <v>4</v>
      </c>
      <c r="B13">
        <v>120.14</v>
      </c>
      <c r="C13" t="s">
        <v>151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">
      <c r="A14">
        <v>5</v>
      </c>
      <c r="B14" t="s">
        <v>139</v>
      </c>
      <c r="C14" t="s">
        <v>152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">
      <c r="A15">
        <v>5</v>
      </c>
      <c r="B15">
        <v>117.17</v>
      </c>
      <c r="C15" t="s">
        <v>153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2">
      <c r="A16">
        <v>5</v>
      </c>
      <c r="B16">
        <v>120.14</v>
      </c>
      <c r="C16" t="s">
        <v>154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2">
      <c r="A17">
        <v>5</v>
      </c>
      <c r="B17">
        <v>120.17</v>
      </c>
      <c r="C17" t="s">
        <v>155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2">
      <c r="A18">
        <v>6</v>
      </c>
      <c r="B18">
        <v>120.14</v>
      </c>
      <c r="C18" t="s">
        <v>156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">
      <c r="A19">
        <v>6</v>
      </c>
      <c r="B19" t="s">
        <v>139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2">
      <c r="A20">
        <v>6</v>
      </c>
      <c r="B20">
        <v>120.17</v>
      </c>
      <c r="C20" t="s">
        <v>157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2">
      <c r="A21">
        <v>6</v>
      </c>
      <c r="B21">
        <v>117.17</v>
      </c>
      <c r="C21" t="s">
        <v>158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2">
      <c r="A22">
        <v>7</v>
      </c>
      <c r="B22">
        <v>120.17</v>
      </c>
      <c r="C22" t="s">
        <v>159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2">
      <c r="A23">
        <v>7</v>
      </c>
      <c r="B23">
        <v>120.14</v>
      </c>
      <c r="C23" t="s">
        <v>160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x14ac:dyDescent="0.2">
      <c r="A24">
        <v>7</v>
      </c>
      <c r="B24">
        <v>117.17</v>
      </c>
      <c r="C24" t="s">
        <v>161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2" x14ac:dyDescent="0.2">
      <c r="A25">
        <v>7</v>
      </c>
      <c r="B25" t="s">
        <v>139</v>
      </c>
      <c r="C25" t="s">
        <v>162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</row>
    <row r="26" spans="1:22" x14ac:dyDescent="0.2">
      <c r="A26">
        <v>8</v>
      </c>
      <c r="B26">
        <v>117.17</v>
      </c>
      <c r="C26" t="s">
        <v>163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 x14ac:dyDescent="0.2">
      <c r="A27">
        <v>8</v>
      </c>
      <c r="B27">
        <v>120.17</v>
      </c>
      <c r="C27" t="s">
        <v>163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2">
      <c r="A28">
        <v>8</v>
      </c>
      <c r="B28" t="s">
        <v>139</v>
      </c>
      <c r="C28" t="s">
        <v>164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</row>
    <row r="29" spans="1:22" x14ac:dyDescent="0.2">
      <c r="A29">
        <v>8</v>
      </c>
      <c r="B29">
        <v>120.14</v>
      </c>
      <c r="C29" t="s">
        <v>164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x14ac:dyDescent="0.2">
      <c r="A30">
        <v>9</v>
      </c>
      <c r="B30" t="s">
        <v>139</v>
      </c>
      <c r="C30" t="s">
        <v>165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 x14ac:dyDescent="0.2">
      <c r="A31">
        <v>9</v>
      </c>
      <c r="B31">
        <v>117.17</v>
      </c>
      <c r="C31" t="s">
        <v>166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2">
      <c r="A32">
        <v>9</v>
      </c>
      <c r="B32">
        <v>120.14</v>
      </c>
      <c r="C32" t="s">
        <v>158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 x14ac:dyDescent="0.2">
      <c r="A33">
        <v>9</v>
      </c>
      <c r="B33">
        <v>120.17</v>
      </c>
      <c r="C33" t="s">
        <v>167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x14ac:dyDescent="0.2">
      <c r="A34">
        <v>10</v>
      </c>
      <c r="B34">
        <v>120.14</v>
      </c>
      <c r="C34" t="s">
        <v>168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</row>
    <row r="35" spans="1:22" x14ac:dyDescent="0.2">
      <c r="A35">
        <v>10</v>
      </c>
      <c r="B35" t="s">
        <v>139</v>
      </c>
      <c r="C35" t="s">
        <v>169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 x14ac:dyDescent="0.2">
      <c r="A36">
        <v>10</v>
      </c>
      <c r="B36">
        <v>120.17</v>
      </c>
      <c r="C36" t="s">
        <v>170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x14ac:dyDescent="0.2">
      <c r="A37">
        <v>10</v>
      </c>
      <c r="B37">
        <v>117.17</v>
      </c>
      <c r="C37" t="s">
        <v>171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x14ac:dyDescent="0.2">
      <c r="A38">
        <v>11</v>
      </c>
      <c r="B38">
        <v>120.17</v>
      </c>
      <c r="C38" t="s">
        <v>172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</row>
    <row r="39" spans="1:22" x14ac:dyDescent="0.2">
      <c r="A39">
        <v>11</v>
      </c>
      <c r="B39">
        <v>120.14</v>
      </c>
      <c r="C39" t="s">
        <v>172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2">
      <c r="A40">
        <v>11</v>
      </c>
      <c r="B40">
        <v>117.17</v>
      </c>
      <c r="C40" t="s">
        <v>172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</row>
    <row r="41" spans="1:22" x14ac:dyDescent="0.2">
      <c r="A41">
        <v>11</v>
      </c>
      <c r="B41" t="s">
        <v>139</v>
      </c>
      <c r="C41" t="s">
        <v>172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2">
      <c r="A42">
        <v>12</v>
      </c>
      <c r="B42">
        <v>117.17</v>
      </c>
      <c r="C42" t="s">
        <v>173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x14ac:dyDescent="0.2">
      <c r="A43">
        <v>12</v>
      </c>
      <c r="B43">
        <v>120.17</v>
      </c>
      <c r="C43" t="s">
        <v>174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x14ac:dyDescent="0.2">
      <c r="A44">
        <v>12</v>
      </c>
      <c r="B44" t="s">
        <v>139</v>
      </c>
      <c r="C44" t="s">
        <v>175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2" x14ac:dyDescent="0.2">
      <c r="A45">
        <v>12</v>
      </c>
      <c r="B45">
        <v>120.14</v>
      </c>
      <c r="C45" t="s">
        <v>176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x14ac:dyDescent="0.2">
      <c r="A46">
        <v>13</v>
      </c>
      <c r="B46" t="s">
        <v>139</v>
      </c>
      <c r="C46" t="s">
        <v>177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x14ac:dyDescent="0.2">
      <c r="A47">
        <v>13</v>
      </c>
      <c r="B47">
        <v>117.17</v>
      </c>
      <c r="C47" t="s">
        <v>158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 x14ac:dyDescent="0.2">
      <c r="A48">
        <v>13</v>
      </c>
      <c r="B48">
        <v>120.14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x14ac:dyDescent="0.2">
      <c r="A49">
        <v>13</v>
      </c>
      <c r="B49">
        <v>120.17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 x14ac:dyDescent="0.2">
      <c r="A50">
        <v>14</v>
      </c>
      <c r="B50">
        <v>120.14</v>
      </c>
      <c r="C50" t="s">
        <v>178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:22" x14ac:dyDescent="0.2">
      <c r="A51">
        <v>14</v>
      </c>
      <c r="B51" t="s">
        <v>139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1:22" x14ac:dyDescent="0.2">
      <c r="A52">
        <v>14</v>
      </c>
      <c r="B52">
        <v>120.17</v>
      </c>
      <c r="C52" t="s">
        <v>164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</row>
    <row r="53" spans="1:22" x14ac:dyDescent="0.2">
      <c r="A53">
        <v>14</v>
      </c>
      <c r="B53">
        <v>117.17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1:22" x14ac:dyDescent="0.2">
      <c r="A54">
        <v>15</v>
      </c>
      <c r="B54">
        <v>120.17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:22" x14ac:dyDescent="0.2">
      <c r="A55">
        <v>15</v>
      </c>
      <c r="B55">
        <v>120.14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:22" x14ac:dyDescent="0.2">
      <c r="A56">
        <v>15</v>
      </c>
      <c r="B56">
        <v>117.17</v>
      </c>
      <c r="C56" t="s">
        <v>179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:22" x14ac:dyDescent="0.2">
      <c r="A57">
        <v>15</v>
      </c>
      <c r="B57" t="s">
        <v>139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</row>
    <row r="58" spans="1:22" x14ac:dyDescent="0.2">
      <c r="A58">
        <v>16</v>
      </c>
      <c r="B58">
        <v>117.17</v>
      </c>
      <c r="C58" t="s">
        <v>180</v>
      </c>
      <c r="D58">
        <v>1</v>
      </c>
      <c r="E58">
        <v>0</v>
      </c>
      <c r="F58">
        <v>0</v>
      </c>
      <c r="G58">
        <v>0</v>
      </c>
      <c r="H58">
        <v>1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</row>
    <row r="59" spans="1:22" x14ac:dyDescent="0.2">
      <c r="A59">
        <v>16</v>
      </c>
      <c r="B59">
        <v>120.17</v>
      </c>
      <c r="C59" t="s">
        <v>181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:22" x14ac:dyDescent="0.2">
      <c r="A60">
        <v>16</v>
      </c>
      <c r="B60" t="s">
        <v>139</v>
      </c>
      <c r="C60" t="s">
        <v>164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:22" x14ac:dyDescent="0.2">
      <c r="A61">
        <v>16</v>
      </c>
      <c r="B61">
        <v>120.14</v>
      </c>
      <c r="C61" t="s">
        <v>182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:22" x14ac:dyDescent="0.2">
      <c r="A62">
        <v>17</v>
      </c>
      <c r="B62" t="s">
        <v>139</v>
      </c>
      <c r="C62" t="s">
        <v>183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1:22" x14ac:dyDescent="0.2">
      <c r="A63">
        <v>17</v>
      </c>
      <c r="B63">
        <v>117.17</v>
      </c>
      <c r="C63" t="s">
        <v>184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1:22" x14ac:dyDescent="0.2">
      <c r="A64">
        <v>17</v>
      </c>
      <c r="B64">
        <v>120.14</v>
      </c>
      <c r="C64" t="s">
        <v>185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1:22" x14ac:dyDescent="0.2">
      <c r="A65">
        <v>17</v>
      </c>
      <c r="B65">
        <v>120.17</v>
      </c>
      <c r="C65" t="s">
        <v>186</v>
      </c>
      <c r="D65">
        <v>0</v>
      </c>
      <c r="E65">
        <v>0</v>
      </c>
      <c r="F65">
        <v>1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1:22" x14ac:dyDescent="0.2">
      <c r="A66">
        <v>18</v>
      </c>
      <c r="B66">
        <v>120.14</v>
      </c>
      <c r="C66" t="s">
        <v>179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1:22" x14ac:dyDescent="0.2">
      <c r="A67">
        <v>18</v>
      </c>
      <c r="B67" t="s">
        <v>139</v>
      </c>
      <c r="C67" t="s">
        <v>187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</row>
    <row r="68" spans="1:22" x14ac:dyDescent="0.2">
      <c r="A68">
        <v>18</v>
      </c>
      <c r="B68">
        <v>120.17</v>
      </c>
      <c r="C68" t="s">
        <v>188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</row>
    <row r="69" spans="1:22" x14ac:dyDescent="0.2">
      <c r="A69">
        <v>18</v>
      </c>
      <c r="B69">
        <v>117.17</v>
      </c>
      <c r="C69" t="s">
        <v>189</v>
      </c>
      <c r="D69">
        <v>0</v>
      </c>
      <c r="E69">
        <v>0</v>
      </c>
      <c r="F69">
        <v>0</v>
      </c>
      <c r="G69">
        <v>0</v>
      </c>
      <c r="H69">
        <v>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</row>
    <row r="70" spans="1:22" x14ac:dyDescent="0.2">
      <c r="A70">
        <v>19</v>
      </c>
      <c r="B70">
        <v>120.17</v>
      </c>
      <c r="C70" t="s">
        <v>190</v>
      </c>
      <c r="D70">
        <v>0</v>
      </c>
      <c r="E70">
        <v>0</v>
      </c>
      <c r="F70">
        <v>0</v>
      </c>
      <c r="G70">
        <v>0</v>
      </c>
      <c r="H70">
        <v>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</row>
    <row r="71" spans="1:22" x14ac:dyDescent="0.2">
      <c r="A71">
        <v>19</v>
      </c>
      <c r="B71">
        <v>120.14</v>
      </c>
      <c r="C71" t="s">
        <v>158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</row>
    <row r="72" spans="1:22" x14ac:dyDescent="0.2">
      <c r="A72">
        <v>19</v>
      </c>
      <c r="B72">
        <v>117.17</v>
      </c>
      <c r="C72" t="s">
        <v>191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</row>
    <row r="73" spans="1:22" x14ac:dyDescent="0.2">
      <c r="A73">
        <v>19</v>
      </c>
      <c r="B73" t="s">
        <v>139</v>
      </c>
      <c r="C73" t="s">
        <v>192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</row>
    <row r="74" spans="1:22" x14ac:dyDescent="0.2">
      <c r="A74">
        <v>20</v>
      </c>
      <c r="B74">
        <v>117.17</v>
      </c>
      <c r="C74" t="s">
        <v>193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</row>
    <row r="75" spans="1:22" x14ac:dyDescent="0.2">
      <c r="A75">
        <v>20</v>
      </c>
      <c r="B75">
        <v>120.17</v>
      </c>
      <c r="C75" t="s">
        <v>190</v>
      </c>
      <c r="D75">
        <v>0</v>
      </c>
      <c r="E75">
        <v>0</v>
      </c>
      <c r="F75">
        <v>0</v>
      </c>
      <c r="G75">
        <v>0</v>
      </c>
      <c r="H75">
        <v>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</row>
    <row r="76" spans="1:22" x14ac:dyDescent="0.2">
      <c r="A76">
        <v>20</v>
      </c>
      <c r="B76" t="s">
        <v>139</v>
      </c>
      <c r="C76" t="s">
        <v>194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</row>
    <row r="77" spans="1:22" x14ac:dyDescent="0.2">
      <c r="A77">
        <v>20</v>
      </c>
      <c r="B77">
        <v>120.14</v>
      </c>
      <c r="C77" t="s">
        <v>190</v>
      </c>
      <c r="D77">
        <v>0</v>
      </c>
      <c r="E77">
        <v>0</v>
      </c>
      <c r="F77">
        <v>0</v>
      </c>
      <c r="G77">
        <v>0</v>
      </c>
      <c r="H77">
        <v>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</row>
    <row r="78" spans="1:22" x14ac:dyDescent="0.2">
      <c r="A78">
        <v>21</v>
      </c>
      <c r="B78" t="s">
        <v>139</v>
      </c>
      <c r="C78" t="s">
        <v>195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1:22" x14ac:dyDescent="0.2">
      <c r="A79">
        <v>21</v>
      </c>
      <c r="B79">
        <v>117.17</v>
      </c>
      <c r="C79" t="s">
        <v>158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:22" x14ac:dyDescent="0.2">
      <c r="A80">
        <v>21</v>
      </c>
      <c r="B80">
        <v>120.14</v>
      </c>
      <c r="C80" t="s">
        <v>196</v>
      </c>
      <c r="D80">
        <v>0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</row>
    <row r="81" spans="1:22" x14ac:dyDescent="0.2">
      <c r="A81">
        <v>21</v>
      </c>
      <c r="B81">
        <v>120.17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</row>
    <row r="82" spans="1:22" x14ac:dyDescent="0.2">
      <c r="A82">
        <v>22</v>
      </c>
      <c r="B82">
        <v>120.14</v>
      </c>
      <c r="C82" t="s">
        <v>197</v>
      </c>
      <c r="D82">
        <v>0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</row>
    <row r="83" spans="1:22" x14ac:dyDescent="0.2">
      <c r="A83">
        <v>22</v>
      </c>
      <c r="B83" t="s">
        <v>139</v>
      </c>
      <c r="C83" t="s">
        <v>198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</row>
    <row r="84" spans="1:22" x14ac:dyDescent="0.2">
      <c r="A84">
        <v>22</v>
      </c>
      <c r="B84">
        <v>120.17</v>
      </c>
      <c r="C84" t="s">
        <v>199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0</v>
      </c>
      <c r="V84">
        <v>0</v>
      </c>
    </row>
    <row r="85" spans="1:22" x14ac:dyDescent="0.2">
      <c r="A85">
        <v>22</v>
      </c>
      <c r="B85">
        <v>117.17</v>
      </c>
      <c r="C85" t="s">
        <v>200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</row>
    <row r="86" spans="1:22" x14ac:dyDescent="0.2">
      <c r="A86">
        <v>23</v>
      </c>
      <c r="B86">
        <v>120.17</v>
      </c>
      <c r="C86" t="s">
        <v>201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</row>
    <row r="87" spans="1:22" x14ac:dyDescent="0.2">
      <c r="A87">
        <v>23</v>
      </c>
      <c r="B87">
        <v>120.14</v>
      </c>
      <c r="C87" t="s">
        <v>202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0</v>
      </c>
      <c r="V87">
        <v>0</v>
      </c>
    </row>
    <row r="88" spans="1:22" x14ac:dyDescent="0.2">
      <c r="A88">
        <v>23</v>
      </c>
      <c r="B88">
        <v>117.17</v>
      </c>
      <c r="C88" t="s">
        <v>203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</row>
    <row r="89" spans="1:22" x14ac:dyDescent="0.2">
      <c r="A89">
        <v>23</v>
      </c>
      <c r="B89" t="s">
        <v>139</v>
      </c>
      <c r="C89" t="s">
        <v>204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</row>
    <row r="90" spans="1:22" x14ac:dyDescent="0.2">
      <c r="A90">
        <v>24</v>
      </c>
      <c r="B90">
        <v>117.17</v>
      </c>
      <c r="C90" t="s">
        <v>164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</row>
    <row r="91" spans="1:22" x14ac:dyDescent="0.2">
      <c r="A91">
        <v>24</v>
      </c>
      <c r="B91">
        <v>120.17</v>
      </c>
      <c r="C91" t="s">
        <v>205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0</v>
      </c>
      <c r="S91">
        <v>0</v>
      </c>
      <c r="T91">
        <v>0</v>
      </c>
      <c r="U91">
        <v>0</v>
      </c>
      <c r="V91">
        <v>0</v>
      </c>
    </row>
    <row r="92" spans="1:22" x14ac:dyDescent="0.2">
      <c r="A92">
        <v>24</v>
      </c>
      <c r="B92" t="s">
        <v>139</v>
      </c>
      <c r="C92" t="s">
        <v>164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</row>
    <row r="93" spans="1:22" x14ac:dyDescent="0.2">
      <c r="A93">
        <v>24</v>
      </c>
      <c r="B93">
        <v>120.14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</row>
    <row r="94" spans="1:22" x14ac:dyDescent="0.2">
      <c r="A94">
        <v>25</v>
      </c>
      <c r="B94" t="s">
        <v>139</v>
      </c>
      <c r="C94" t="s">
        <v>206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</row>
    <row r="95" spans="1:22" x14ac:dyDescent="0.2">
      <c r="A95">
        <v>25</v>
      </c>
      <c r="B95">
        <v>117.17</v>
      </c>
      <c r="C95" t="s">
        <v>207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</row>
    <row r="96" spans="1:22" x14ac:dyDescent="0.2">
      <c r="A96">
        <v>25</v>
      </c>
      <c r="B96">
        <v>120.14</v>
      </c>
      <c r="C96" t="s">
        <v>208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</row>
    <row r="97" spans="1:22" x14ac:dyDescent="0.2">
      <c r="A97">
        <v>25</v>
      </c>
      <c r="B97">
        <v>120.17</v>
      </c>
      <c r="C97" t="s">
        <v>209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</row>
    <row r="98" spans="1:22" x14ac:dyDescent="0.2">
      <c r="A98">
        <v>26</v>
      </c>
      <c r="B98">
        <v>120.14</v>
      </c>
      <c r="C98" t="s">
        <v>210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</row>
    <row r="99" spans="1:22" x14ac:dyDescent="0.2">
      <c r="A99">
        <v>26</v>
      </c>
      <c r="B99" t="s">
        <v>139</v>
      </c>
      <c r="C99" t="s">
        <v>211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</row>
    <row r="100" spans="1:22" x14ac:dyDescent="0.2">
      <c r="A100">
        <v>26</v>
      </c>
      <c r="B100">
        <v>120.17</v>
      </c>
      <c r="C100" t="s">
        <v>212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</row>
    <row r="101" spans="1:22" x14ac:dyDescent="0.2">
      <c r="A101">
        <v>26</v>
      </c>
      <c r="B101">
        <v>117.17</v>
      </c>
      <c r="C101" t="s">
        <v>213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</row>
    <row r="102" spans="1:22" x14ac:dyDescent="0.2">
      <c r="A102">
        <v>27</v>
      </c>
      <c r="B102">
        <v>120.17</v>
      </c>
      <c r="C102" t="s">
        <v>214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</row>
    <row r="103" spans="1:22" x14ac:dyDescent="0.2">
      <c r="A103">
        <v>27</v>
      </c>
      <c r="B103">
        <v>120.14</v>
      </c>
      <c r="C103" t="s">
        <v>176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</row>
    <row r="104" spans="1:22" x14ac:dyDescent="0.2">
      <c r="A104">
        <v>27</v>
      </c>
      <c r="B104">
        <v>117.17</v>
      </c>
      <c r="C104" t="s">
        <v>215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</row>
    <row r="105" spans="1:22" x14ac:dyDescent="0.2">
      <c r="A105">
        <v>27</v>
      </c>
      <c r="B105" t="s">
        <v>139</v>
      </c>
      <c r="C105" t="s">
        <v>216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</row>
    <row r="106" spans="1:22" x14ac:dyDescent="0.2">
      <c r="A106">
        <v>28</v>
      </c>
      <c r="B106">
        <v>117.17</v>
      </c>
      <c r="C106" t="s">
        <v>217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</v>
      </c>
    </row>
    <row r="107" spans="1:22" x14ac:dyDescent="0.2">
      <c r="A107">
        <v>28</v>
      </c>
      <c r="B107">
        <v>120.17</v>
      </c>
      <c r="C107" t="s">
        <v>218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</row>
    <row r="108" spans="1:22" x14ac:dyDescent="0.2">
      <c r="A108">
        <v>28</v>
      </c>
      <c r="B108" t="s">
        <v>139</v>
      </c>
      <c r="C108" t="s">
        <v>219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</row>
    <row r="109" spans="1:22" x14ac:dyDescent="0.2">
      <c r="A109">
        <v>28</v>
      </c>
      <c r="B109">
        <v>120.14</v>
      </c>
      <c r="C109" t="s">
        <v>220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</row>
    <row r="110" spans="1:22" x14ac:dyDescent="0.2">
      <c r="A110">
        <v>29</v>
      </c>
      <c r="B110" t="s">
        <v>139</v>
      </c>
      <c r="C110" t="s">
        <v>149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</row>
    <row r="111" spans="1:22" x14ac:dyDescent="0.2">
      <c r="A111">
        <v>29</v>
      </c>
      <c r="B111">
        <v>117.17</v>
      </c>
      <c r="C111" t="s">
        <v>221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</row>
    <row r="112" spans="1:22" x14ac:dyDescent="0.2">
      <c r="A112">
        <v>29</v>
      </c>
      <c r="B112">
        <v>120.14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</row>
    <row r="113" spans="1:22" x14ac:dyDescent="0.2">
      <c r="A113">
        <v>29</v>
      </c>
      <c r="B113">
        <v>120.17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</row>
    <row r="114" spans="1:22" x14ac:dyDescent="0.2">
      <c r="A114">
        <v>30</v>
      </c>
      <c r="B114">
        <v>120.14</v>
      </c>
      <c r="C114" t="s">
        <v>190</v>
      </c>
      <c r="D114">
        <v>0</v>
      </c>
      <c r="E114">
        <v>0</v>
      </c>
      <c r="F114">
        <v>0</v>
      </c>
      <c r="G114">
        <v>0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</row>
    <row r="115" spans="1:22" x14ac:dyDescent="0.2">
      <c r="A115">
        <v>30</v>
      </c>
      <c r="B115" t="s">
        <v>139</v>
      </c>
      <c r="C115" t="s">
        <v>222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</row>
    <row r="116" spans="1:22" x14ac:dyDescent="0.2">
      <c r="A116">
        <v>30</v>
      </c>
      <c r="B116">
        <v>120.17</v>
      </c>
      <c r="C116" t="s">
        <v>223</v>
      </c>
      <c r="D116">
        <v>0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</row>
    <row r="117" spans="1:22" x14ac:dyDescent="0.2">
      <c r="A117">
        <v>30</v>
      </c>
      <c r="B117">
        <v>117.17</v>
      </c>
      <c r="C117" t="s">
        <v>224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</row>
    <row r="118" spans="1:22" x14ac:dyDescent="0.2">
      <c r="A118">
        <v>31</v>
      </c>
      <c r="B118">
        <v>120.17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</row>
    <row r="119" spans="1:22" x14ac:dyDescent="0.2">
      <c r="A119">
        <v>31</v>
      </c>
      <c r="B119">
        <v>120.14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</row>
    <row r="120" spans="1:22" x14ac:dyDescent="0.2">
      <c r="A120">
        <v>31</v>
      </c>
      <c r="B120">
        <v>117.17</v>
      </c>
      <c r="C120" t="s">
        <v>158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</row>
    <row r="121" spans="1:22" x14ac:dyDescent="0.2">
      <c r="A121">
        <v>31</v>
      </c>
      <c r="B121" t="s">
        <v>139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</row>
    <row r="122" spans="1:22" x14ac:dyDescent="0.2">
      <c r="A122">
        <v>32</v>
      </c>
      <c r="B122">
        <v>117.17</v>
      </c>
      <c r="C122" t="s">
        <v>225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</row>
    <row r="123" spans="1:22" x14ac:dyDescent="0.2">
      <c r="A123">
        <v>32</v>
      </c>
      <c r="B123">
        <v>120.17</v>
      </c>
      <c r="C123" t="s">
        <v>226</v>
      </c>
      <c r="D123">
        <v>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</row>
    <row r="124" spans="1:22" x14ac:dyDescent="0.2">
      <c r="A124">
        <v>32</v>
      </c>
      <c r="B124" t="s">
        <v>139</v>
      </c>
      <c r="C124" t="s">
        <v>227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</row>
    <row r="125" spans="1:22" x14ac:dyDescent="0.2">
      <c r="A125">
        <v>32</v>
      </c>
      <c r="B125">
        <v>120.14</v>
      </c>
      <c r="C125" t="s">
        <v>228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</row>
    <row r="126" spans="1:22" x14ac:dyDescent="0.2">
      <c r="A126">
        <v>33</v>
      </c>
      <c r="B126" t="s">
        <v>139</v>
      </c>
      <c r="C126" t="s">
        <v>164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</row>
    <row r="127" spans="1:22" x14ac:dyDescent="0.2">
      <c r="A127">
        <v>33</v>
      </c>
      <c r="B127">
        <v>117.17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</row>
    <row r="128" spans="1:22" x14ac:dyDescent="0.2">
      <c r="A128">
        <v>33</v>
      </c>
      <c r="B128">
        <v>120.14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</row>
    <row r="129" spans="1:22" x14ac:dyDescent="0.2">
      <c r="A129">
        <v>33</v>
      </c>
      <c r="B129">
        <v>120.17</v>
      </c>
      <c r="C129" t="s">
        <v>164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</row>
    <row r="130" spans="1:22" x14ac:dyDescent="0.2">
      <c r="A130">
        <v>34</v>
      </c>
      <c r="B130">
        <v>120.14</v>
      </c>
      <c r="C130" t="s">
        <v>164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</row>
    <row r="131" spans="1:22" x14ac:dyDescent="0.2">
      <c r="A131">
        <v>34</v>
      </c>
      <c r="B131" t="s">
        <v>139</v>
      </c>
      <c r="C131" t="s">
        <v>164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</row>
    <row r="132" spans="1:22" x14ac:dyDescent="0.2">
      <c r="A132">
        <v>34</v>
      </c>
      <c r="B132">
        <v>120.17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</row>
    <row r="133" spans="1:22" x14ac:dyDescent="0.2">
      <c r="A133">
        <v>34</v>
      </c>
      <c r="B133">
        <v>117.17</v>
      </c>
      <c r="C133" t="s">
        <v>164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</row>
    <row r="134" spans="1:22" x14ac:dyDescent="0.2">
      <c r="A134">
        <v>35</v>
      </c>
      <c r="B134">
        <v>120.17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</row>
    <row r="135" spans="1:22" x14ac:dyDescent="0.2">
      <c r="A135">
        <v>35</v>
      </c>
      <c r="B135">
        <v>120.14</v>
      </c>
      <c r="C135" t="s">
        <v>164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</row>
    <row r="136" spans="1:22" x14ac:dyDescent="0.2">
      <c r="A136">
        <v>35</v>
      </c>
      <c r="B136">
        <v>117.17</v>
      </c>
      <c r="C136" t="s">
        <v>229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</row>
    <row r="137" spans="1:22" x14ac:dyDescent="0.2">
      <c r="A137">
        <v>35</v>
      </c>
      <c r="B137" t="s">
        <v>139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</row>
    <row r="138" spans="1:22" x14ac:dyDescent="0.2">
      <c r="A138">
        <v>36</v>
      </c>
      <c r="B138">
        <v>117.17</v>
      </c>
      <c r="C138" t="s">
        <v>230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</row>
    <row r="139" spans="1:22" x14ac:dyDescent="0.2">
      <c r="A139">
        <v>36</v>
      </c>
      <c r="B139">
        <v>120.17</v>
      </c>
      <c r="C139" t="s">
        <v>231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</row>
    <row r="140" spans="1:22" x14ac:dyDescent="0.2">
      <c r="A140">
        <v>36</v>
      </c>
      <c r="B140" t="s">
        <v>139</v>
      </c>
      <c r="C140" t="s">
        <v>232</v>
      </c>
      <c r="D140">
        <v>0</v>
      </c>
      <c r="E140">
        <v>0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</row>
    <row r="141" spans="1:22" x14ac:dyDescent="0.2">
      <c r="A141">
        <v>36</v>
      </c>
      <c r="B141">
        <v>120.14</v>
      </c>
      <c r="C141" t="s">
        <v>233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</row>
    <row r="142" spans="1:22" x14ac:dyDescent="0.2">
      <c r="A142">
        <v>37</v>
      </c>
      <c r="B142" t="s">
        <v>139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</row>
    <row r="143" spans="1:22" x14ac:dyDescent="0.2">
      <c r="A143">
        <v>37</v>
      </c>
      <c r="B143">
        <v>117.17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</row>
    <row r="144" spans="1:22" x14ac:dyDescent="0.2">
      <c r="A144">
        <v>37</v>
      </c>
      <c r="B144">
        <v>120.14</v>
      </c>
      <c r="C144" t="s">
        <v>234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</row>
    <row r="145" spans="1:22" x14ac:dyDescent="0.2">
      <c r="A145">
        <v>37</v>
      </c>
      <c r="B145">
        <v>120.17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</row>
    <row r="146" spans="1:22" x14ac:dyDescent="0.2">
      <c r="A146">
        <v>38</v>
      </c>
      <c r="B146">
        <v>120.14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</row>
    <row r="147" spans="1:22" x14ac:dyDescent="0.2">
      <c r="A147">
        <v>38</v>
      </c>
      <c r="B147" t="s">
        <v>139</v>
      </c>
      <c r="C147" t="s">
        <v>142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</row>
    <row r="148" spans="1:22" x14ac:dyDescent="0.2">
      <c r="A148">
        <v>38</v>
      </c>
      <c r="B148">
        <v>120.17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</row>
    <row r="149" spans="1:22" x14ac:dyDescent="0.2">
      <c r="A149">
        <v>38</v>
      </c>
      <c r="B149">
        <v>117.17</v>
      </c>
      <c r="C149" t="s">
        <v>177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</row>
    <row r="150" spans="1:22" x14ac:dyDescent="0.2">
      <c r="A150">
        <v>39</v>
      </c>
      <c r="B150">
        <v>120.17</v>
      </c>
      <c r="C150" t="s">
        <v>235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</row>
    <row r="151" spans="1:22" x14ac:dyDescent="0.2">
      <c r="A151">
        <v>39</v>
      </c>
      <c r="B151">
        <v>120.14</v>
      </c>
      <c r="C151" t="s">
        <v>158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</row>
    <row r="152" spans="1:22" x14ac:dyDescent="0.2">
      <c r="A152">
        <v>39</v>
      </c>
      <c r="B152">
        <v>117.17</v>
      </c>
      <c r="C152" t="s">
        <v>236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</row>
    <row r="153" spans="1:22" x14ac:dyDescent="0.2">
      <c r="A153">
        <v>39</v>
      </c>
      <c r="B153" t="s">
        <v>139</v>
      </c>
      <c r="C153" t="s">
        <v>237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</row>
    <row r="154" spans="1:22" x14ac:dyDescent="0.2">
      <c r="A154">
        <v>40</v>
      </c>
      <c r="B154">
        <v>117.17</v>
      </c>
      <c r="C154" t="s">
        <v>238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</row>
    <row r="155" spans="1:22" x14ac:dyDescent="0.2">
      <c r="A155">
        <v>40</v>
      </c>
      <c r="B155">
        <v>120.17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</row>
    <row r="156" spans="1:22" x14ac:dyDescent="0.2">
      <c r="A156">
        <v>40</v>
      </c>
      <c r="B156" t="s">
        <v>139</v>
      </c>
      <c r="C156" t="s">
        <v>176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1:22" x14ac:dyDescent="0.2">
      <c r="A157">
        <v>40</v>
      </c>
      <c r="B157">
        <v>120.14</v>
      </c>
      <c r="C157" t="s">
        <v>239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</row>
    <row r="158" spans="1:22" x14ac:dyDescent="0.2">
      <c r="A158">
        <v>41</v>
      </c>
      <c r="B158" t="s">
        <v>139</v>
      </c>
      <c r="C158" t="s">
        <v>240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</row>
    <row r="159" spans="1:22" x14ac:dyDescent="0.2">
      <c r="A159">
        <v>41</v>
      </c>
      <c r="B159">
        <v>117.17</v>
      </c>
      <c r="C159" t="s">
        <v>241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1:22" x14ac:dyDescent="0.2">
      <c r="A160">
        <v>41</v>
      </c>
      <c r="B160">
        <v>120.14</v>
      </c>
      <c r="C160" t="s">
        <v>242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</row>
    <row r="161" spans="1:22" x14ac:dyDescent="0.2">
      <c r="A161">
        <v>41</v>
      </c>
      <c r="B161">
        <v>120.17</v>
      </c>
      <c r="C161" t="s">
        <v>243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1:22" x14ac:dyDescent="0.2">
      <c r="A162">
        <v>42</v>
      </c>
      <c r="B162">
        <v>120.14</v>
      </c>
      <c r="C162" t="s">
        <v>244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1:22" x14ac:dyDescent="0.2">
      <c r="A163">
        <v>42</v>
      </c>
      <c r="B163" t="s">
        <v>139</v>
      </c>
      <c r="C163" t="s">
        <v>245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1:22" x14ac:dyDescent="0.2">
      <c r="A164">
        <v>42</v>
      </c>
      <c r="B164">
        <v>120.17</v>
      </c>
      <c r="C164" t="s">
        <v>246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1:22" x14ac:dyDescent="0.2">
      <c r="A165">
        <v>42</v>
      </c>
      <c r="B165">
        <v>117.17</v>
      </c>
      <c r="C165" t="s">
        <v>247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</row>
    <row r="166" spans="1:22" x14ac:dyDescent="0.2">
      <c r="A166">
        <v>43</v>
      </c>
      <c r="B166">
        <v>120.17</v>
      </c>
      <c r="C166" t="s">
        <v>248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1</v>
      </c>
    </row>
    <row r="167" spans="1:22" x14ac:dyDescent="0.2">
      <c r="A167">
        <v>43</v>
      </c>
      <c r="B167">
        <v>120.14</v>
      </c>
      <c r="C167" t="s">
        <v>249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</row>
    <row r="168" spans="1:22" x14ac:dyDescent="0.2">
      <c r="A168">
        <v>43</v>
      </c>
      <c r="B168">
        <v>117.17</v>
      </c>
      <c r="C168" t="s">
        <v>250</v>
      </c>
      <c r="D168">
        <v>0</v>
      </c>
      <c r="E168">
        <v>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1:22" x14ac:dyDescent="0.2">
      <c r="A169">
        <v>43</v>
      </c>
      <c r="B169" t="s">
        <v>139</v>
      </c>
      <c r="C169" t="s">
        <v>251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V169">
        <v>0</v>
      </c>
    </row>
    <row r="170" spans="1:22" x14ac:dyDescent="0.2">
      <c r="A170">
        <v>44</v>
      </c>
      <c r="B170">
        <v>117.17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1:22" x14ac:dyDescent="0.2">
      <c r="A171">
        <v>44</v>
      </c>
      <c r="B171">
        <v>120.17</v>
      </c>
      <c r="C171" t="s">
        <v>234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1:22" x14ac:dyDescent="0.2">
      <c r="A172">
        <v>44</v>
      </c>
      <c r="B172" t="s">
        <v>139</v>
      </c>
      <c r="C172" t="s">
        <v>252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0</v>
      </c>
    </row>
    <row r="173" spans="1:22" x14ac:dyDescent="0.2">
      <c r="A173">
        <v>44</v>
      </c>
      <c r="B173">
        <v>120.14</v>
      </c>
      <c r="C173" t="s">
        <v>253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</row>
    <row r="174" spans="1:22" x14ac:dyDescent="0.2">
      <c r="A174">
        <v>45</v>
      </c>
      <c r="B174" t="s">
        <v>139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</row>
    <row r="175" spans="1:22" x14ac:dyDescent="0.2">
      <c r="A175">
        <v>45</v>
      </c>
      <c r="B175">
        <v>117.17</v>
      </c>
      <c r="C175" t="s">
        <v>158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</row>
    <row r="176" spans="1:22" x14ac:dyDescent="0.2">
      <c r="A176">
        <v>45</v>
      </c>
      <c r="B176">
        <v>120.14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1:22" x14ac:dyDescent="0.2">
      <c r="A177">
        <v>45</v>
      </c>
      <c r="B177">
        <v>120.17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</row>
    <row r="178" spans="1:22" x14ac:dyDescent="0.2">
      <c r="A178">
        <v>46</v>
      </c>
      <c r="B178">
        <v>120.14</v>
      </c>
      <c r="C178" t="s">
        <v>254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</row>
    <row r="179" spans="1:22" x14ac:dyDescent="0.2">
      <c r="A179">
        <v>46</v>
      </c>
      <c r="B179" t="s">
        <v>139</v>
      </c>
      <c r="C179" t="s">
        <v>255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</row>
    <row r="180" spans="1:22" x14ac:dyDescent="0.2">
      <c r="A180">
        <v>46</v>
      </c>
      <c r="B180">
        <v>120.17</v>
      </c>
      <c r="C180" t="s">
        <v>158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</row>
    <row r="181" spans="1:22" x14ac:dyDescent="0.2">
      <c r="A181">
        <v>46</v>
      </c>
      <c r="B181">
        <v>117.17</v>
      </c>
      <c r="C181" t="s">
        <v>256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</row>
    <row r="182" spans="1:22" x14ac:dyDescent="0.2">
      <c r="A182">
        <v>47</v>
      </c>
      <c r="B182">
        <v>120.17</v>
      </c>
      <c r="C182" t="s">
        <v>164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</row>
    <row r="183" spans="1:22" x14ac:dyDescent="0.2">
      <c r="A183">
        <v>47</v>
      </c>
      <c r="B183">
        <v>120.14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</row>
    <row r="184" spans="1:22" x14ac:dyDescent="0.2">
      <c r="A184">
        <v>47</v>
      </c>
      <c r="B184">
        <v>117.17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</row>
    <row r="185" spans="1:22" x14ac:dyDescent="0.2">
      <c r="A185">
        <v>47</v>
      </c>
      <c r="B185" t="s">
        <v>139</v>
      </c>
      <c r="C185" t="s">
        <v>158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</row>
    <row r="186" spans="1:22" x14ac:dyDescent="0.2">
      <c r="A186">
        <v>48</v>
      </c>
      <c r="B186">
        <v>117.17</v>
      </c>
      <c r="C186" t="s">
        <v>257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</row>
    <row r="187" spans="1:22" x14ac:dyDescent="0.2">
      <c r="A187">
        <v>48</v>
      </c>
      <c r="B187">
        <v>120.17</v>
      </c>
      <c r="C187" t="s">
        <v>258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</row>
    <row r="188" spans="1:22" x14ac:dyDescent="0.2">
      <c r="A188">
        <v>48</v>
      </c>
      <c r="B188" t="s">
        <v>139</v>
      </c>
      <c r="C188" t="s">
        <v>259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</row>
    <row r="189" spans="1:22" x14ac:dyDescent="0.2">
      <c r="A189">
        <v>48</v>
      </c>
      <c r="B189">
        <v>120.14</v>
      </c>
      <c r="C189" t="s">
        <v>260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</row>
    <row r="190" spans="1:22" x14ac:dyDescent="0.2">
      <c r="A190">
        <v>49</v>
      </c>
      <c r="B190" t="s">
        <v>139</v>
      </c>
      <c r="C190" t="s">
        <v>261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</row>
    <row r="191" spans="1:22" x14ac:dyDescent="0.2">
      <c r="A191">
        <v>49</v>
      </c>
      <c r="B191">
        <v>117.17</v>
      </c>
      <c r="C191" t="s">
        <v>262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</row>
    <row r="192" spans="1:22" x14ac:dyDescent="0.2">
      <c r="A192">
        <v>49</v>
      </c>
      <c r="B192">
        <v>120.14</v>
      </c>
      <c r="C192" t="s">
        <v>263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</row>
    <row r="193" spans="1:22" x14ac:dyDescent="0.2">
      <c r="A193">
        <v>49</v>
      </c>
      <c r="B193">
        <v>120.17</v>
      </c>
      <c r="C193" t="s">
        <v>206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</row>
    <row r="194" spans="1:22" x14ac:dyDescent="0.2">
      <c r="A194">
        <v>50</v>
      </c>
      <c r="B194">
        <v>120.14</v>
      </c>
      <c r="C194" t="s">
        <v>264</v>
      </c>
      <c r="D194">
        <v>0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</row>
    <row r="195" spans="1:22" x14ac:dyDescent="0.2">
      <c r="A195">
        <v>50</v>
      </c>
      <c r="B195" t="s">
        <v>139</v>
      </c>
      <c r="C195" t="s">
        <v>265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</row>
    <row r="196" spans="1:22" x14ac:dyDescent="0.2">
      <c r="A196">
        <v>50</v>
      </c>
      <c r="B196">
        <v>120.17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</row>
    <row r="197" spans="1:22" x14ac:dyDescent="0.2">
      <c r="A197">
        <v>50</v>
      </c>
      <c r="B197">
        <v>117.17</v>
      </c>
      <c r="C197" t="s">
        <v>142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</row>
    <row r="198" spans="1:22" x14ac:dyDescent="0.2">
      <c r="A198">
        <v>51</v>
      </c>
      <c r="B198">
        <v>120.17</v>
      </c>
      <c r="C198" t="s">
        <v>164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</row>
    <row r="199" spans="1:22" x14ac:dyDescent="0.2">
      <c r="A199">
        <v>51</v>
      </c>
      <c r="B199">
        <v>120.14</v>
      </c>
      <c r="C199" t="s">
        <v>158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</row>
    <row r="200" spans="1:22" x14ac:dyDescent="0.2">
      <c r="A200">
        <v>51</v>
      </c>
      <c r="B200">
        <v>117.17</v>
      </c>
      <c r="C200" t="s">
        <v>158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</row>
    <row r="201" spans="1:22" x14ac:dyDescent="0.2">
      <c r="A201">
        <v>51</v>
      </c>
      <c r="B201" t="s">
        <v>139</v>
      </c>
      <c r="C201" t="s">
        <v>164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</row>
    <row r="202" spans="1:22" x14ac:dyDescent="0.2">
      <c r="A202">
        <v>52</v>
      </c>
      <c r="B202">
        <v>117.17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</row>
    <row r="203" spans="1:22" x14ac:dyDescent="0.2">
      <c r="A203">
        <v>52</v>
      </c>
      <c r="B203">
        <v>120.17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</row>
    <row r="204" spans="1:22" x14ac:dyDescent="0.2">
      <c r="A204">
        <v>52</v>
      </c>
      <c r="B204" t="s">
        <v>139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</row>
    <row r="205" spans="1:22" x14ac:dyDescent="0.2">
      <c r="A205">
        <v>52</v>
      </c>
      <c r="B205">
        <v>120.14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</row>
    <row r="206" spans="1:22" x14ac:dyDescent="0.2">
      <c r="A206">
        <v>53</v>
      </c>
      <c r="B206" t="s">
        <v>139</v>
      </c>
      <c r="C206" t="s">
        <v>266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</row>
    <row r="207" spans="1:22" x14ac:dyDescent="0.2">
      <c r="A207">
        <v>53</v>
      </c>
      <c r="B207">
        <v>117.17</v>
      </c>
      <c r="C207" t="s">
        <v>267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</row>
    <row r="208" spans="1:22" x14ac:dyDescent="0.2">
      <c r="A208">
        <v>53</v>
      </c>
      <c r="B208">
        <v>120.14</v>
      </c>
      <c r="C208" t="s">
        <v>268</v>
      </c>
      <c r="D208">
        <v>0</v>
      </c>
      <c r="E208">
        <v>0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</row>
    <row r="209" spans="1:22" x14ac:dyDescent="0.2">
      <c r="A209">
        <v>53</v>
      </c>
      <c r="B209">
        <v>120.17</v>
      </c>
      <c r="C209" t="s">
        <v>269</v>
      </c>
      <c r="D209">
        <v>0</v>
      </c>
      <c r="E209">
        <v>0</v>
      </c>
      <c r="F209">
        <v>1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</row>
    <row r="210" spans="1:22" x14ac:dyDescent="0.2">
      <c r="A210">
        <v>54</v>
      </c>
      <c r="B210">
        <v>120.14</v>
      </c>
      <c r="C210" t="s">
        <v>270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</row>
    <row r="211" spans="1:22" x14ac:dyDescent="0.2">
      <c r="A211">
        <v>54</v>
      </c>
      <c r="B211" t="s">
        <v>139</v>
      </c>
      <c r="C211" t="s">
        <v>271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</row>
    <row r="212" spans="1:22" x14ac:dyDescent="0.2">
      <c r="A212">
        <v>54</v>
      </c>
      <c r="B212">
        <v>120.17</v>
      </c>
      <c r="C212" t="s">
        <v>272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</row>
    <row r="213" spans="1:22" x14ac:dyDescent="0.2">
      <c r="A213">
        <v>54</v>
      </c>
      <c r="B213">
        <v>117.17</v>
      </c>
      <c r="C213" t="s">
        <v>273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</row>
    <row r="214" spans="1:22" x14ac:dyDescent="0.2">
      <c r="A214">
        <v>55</v>
      </c>
      <c r="B214">
        <v>120.17</v>
      </c>
      <c r="C214" t="s">
        <v>164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</row>
    <row r="215" spans="1:22" x14ac:dyDescent="0.2">
      <c r="A215">
        <v>55</v>
      </c>
      <c r="B215">
        <v>120.14</v>
      </c>
      <c r="C215" t="s">
        <v>274</v>
      </c>
      <c r="D215">
        <v>0</v>
      </c>
      <c r="E215">
        <v>0</v>
      </c>
      <c r="F215">
        <v>1</v>
      </c>
      <c r="G215">
        <v>0</v>
      </c>
      <c r="H215">
        <v>0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</row>
    <row r="216" spans="1:22" x14ac:dyDescent="0.2">
      <c r="A216">
        <v>55</v>
      </c>
      <c r="B216">
        <v>117.17</v>
      </c>
      <c r="C216" t="s">
        <v>232</v>
      </c>
      <c r="D216">
        <v>0</v>
      </c>
      <c r="E216">
        <v>0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</row>
    <row r="217" spans="1:22" x14ac:dyDescent="0.2">
      <c r="A217">
        <v>55</v>
      </c>
      <c r="B217" t="s">
        <v>139</v>
      </c>
      <c r="C217" t="s">
        <v>275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</row>
    <row r="218" spans="1:22" x14ac:dyDescent="0.2">
      <c r="A218">
        <v>56</v>
      </c>
      <c r="B218">
        <v>117.17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</row>
    <row r="219" spans="1:22" x14ac:dyDescent="0.2">
      <c r="A219">
        <v>56</v>
      </c>
      <c r="B219">
        <v>120.17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</row>
    <row r="220" spans="1:22" x14ac:dyDescent="0.2">
      <c r="A220">
        <v>56</v>
      </c>
      <c r="B220" t="s">
        <v>139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</row>
    <row r="221" spans="1:22" x14ac:dyDescent="0.2">
      <c r="A221">
        <v>56</v>
      </c>
      <c r="B221">
        <v>120.14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</row>
    <row r="222" spans="1:22" x14ac:dyDescent="0.2">
      <c r="A222">
        <v>57</v>
      </c>
      <c r="B222" t="s">
        <v>139</v>
      </c>
      <c r="C222" t="s">
        <v>164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</row>
    <row r="223" spans="1:22" x14ac:dyDescent="0.2">
      <c r="A223">
        <v>57</v>
      </c>
      <c r="B223">
        <v>117.17</v>
      </c>
      <c r="C223" t="s">
        <v>276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</row>
    <row r="224" spans="1:22" x14ac:dyDescent="0.2">
      <c r="A224">
        <v>57</v>
      </c>
      <c r="B224">
        <v>120.14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</row>
    <row r="225" spans="1:22" x14ac:dyDescent="0.2">
      <c r="A225">
        <v>57</v>
      </c>
      <c r="B225">
        <v>120.17</v>
      </c>
      <c r="C225" t="s">
        <v>164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</row>
    <row r="226" spans="1:22" x14ac:dyDescent="0.2">
      <c r="A226">
        <v>58</v>
      </c>
      <c r="B226">
        <v>120.14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</row>
    <row r="227" spans="1:22" x14ac:dyDescent="0.2">
      <c r="A227">
        <v>58</v>
      </c>
      <c r="B227" t="s">
        <v>139</v>
      </c>
      <c r="C227" t="s">
        <v>190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</row>
    <row r="228" spans="1:22" x14ac:dyDescent="0.2">
      <c r="A228">
        <v>58</v>
      </c>
      <c r="B228">
        <v>120.17</v>
      </c>
      <c r="C228" t="s">
        <v>158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</row>
    <row r="229" spans="1:22" x14ac:dyDescent="0.2">
      <c r="A229">
        <v>58</v>
      </c>
      <c r="B229">
        <v>117.17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</row>
    <row r="230" spans="1:22" x14ac:dyDescent="0.2">
      <c r="A230">
        <v>59</v>
      </c>
      <c r="B230">
        <v>120.17</v>
      </c>
      <c r="C230" t="s">
        <v>164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</row>
    <row r="231" spans="1:22" x14ac:dyDescent="0.2">
      <c r="A231">
        <v>59</v>
      </c>
      <c r="B231">
        <v>120.14</v>
      </c>
      <c r="C231" t="s">
        <v>277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</row>
    <row r="232" spans="1:22" x14ac:dyDescent="0.2">
      <c r="A232">
        <v>59</v>
      </c>
      <c r="B232">
        <v>117.17</v>
      </c>
      <c r="C232" t="s">
        <v>278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</row>
    <row r="233" spans="1:22" x14ac:dyDescent="0.2">
      <c r="A233">
        <v>59</v>
      </c>
      <c r="B233" t="s">
        <v>139</v>
      </c>
      <c r="C233" t="s">
        <v>279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</row>
    <row r="234" spans="1:22" x14ac:dyDescent="0.2">
      <c r="A234">
        <v>60</v>
      </c>
      <c r="B234">
        <v>117.17</v>
      </c>
      <c r="C234" t="s">
        <v>280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</row>
    <row r="235" spans="1:22" x14ac:dyDescent="0.2">
      <c r="A235">
        <v>60</v>
      </c>
      <c r="B235">
        <v>120.17</v>
      </c>
      <c r="C235" t="s">
        <v>281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</row>
    <row r="236" spans="1:22" x14ac:dyDescent="0.2">
      <c r="A236">
        <v>60</v>
      </c>
      <c r="B236" t="s">
        <v>139</v>
      </c>
      <c r="C236" t="s">
        <v>282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</row>
    <row r="237" spans="1:22" x14ac:dyDescent="0.2">
      <c r="A237">
        <v>60</v>
      </c>
      <c r="B237">
        <v>120.14</v>
      </c>
      <c r="C237" t="s">
        <v>283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</row>
    <row r="238" spans="1:22" x14ac:dyDescent="0.2">
      <c r="A238">
        <v>61</v>
      </c>
      <c r="B238" t="s">
        <v>139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</row>
    <row r="239" spans="1:22" x14ac:dyDescent="0.2">
      <c r="A239">
        <v>61</v>
      </c>
      <c r="B239">
        <v>117.17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</row>
    <row r="240" spans="1:22" x14ac:dyDescent="0.2">
      <c r="A240">
        <v>61</v>
      </c>
      <c r="B240">
        <v>120.14</v>
      </c>
      <c r="C240" t="s">
        <v>164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</row>
    <row r="241" spans="1:22" x14ac:dyDescent="0.2">
      <c r="A241">
        <v>61</v>
      </c>
      <c r="B241">
        <v>120.17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</row>
    <row r="242" spans="1:22" x14ac:dyDescent="0.2">
      <c r="A242">
        <v>62</v>
      </c>
      <c r="B242">
        <v>120.14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</row>
    <row r="243" spans="1:22" x14ac:dyDescent="0.2">
      <c r="A243">
        <v>62</v>
      </c>
      <c r="B243" t="s">
        <v>139</v>
      </c>
      <c r="C243" t="s">
        <v>164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</row>
    <row r="244" spans="1:22" x14ac:dyDescent="0.2">
      <c r="A244">
        <v>62</v>
      </c>
      <c r="B244">
        <v>120.17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</row>
    <row r="245" spans="1:22" x14ac:dyDescent="0.2">
      <c r="A245">
        <v>62</v>
      </c>
      <c r="B245">
        <v>117.17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</row>
    <row r="246" spans="1:22" x14ac:dyDescent="0.2">
      <c r="A246">
        <v>63</v>
      </c>
      <c r="B246">
        <v>120.17</v>
      </c>
      <c r="C246" t="s">
        <v>284</v>
      </c>
      <c r="D246">
        <v>0</v>
      </c>
      <c r="E246">
        <v>0</v>
      </c>
      <c r="F246">
        <v>0</v>
      </c>
      <c r="G246">
        <v>0</v>
      </c>
      <c r="H246">
        <v>1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</row>
    <row r="247" spans="1:22" x14ac:dyDescent="0.2">
      <c r="A247">
        <v>63</v>
      </c>
      <c r="B247">
        <v>120.14</v>
      </c>
      <c r="C247" t="s">
        <v>285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</row>
    <row r="248" spans="1:22" x14ac:dyDescent="0.2">
      <c r="A248">
        <v>63</v>
      </c>
      <c r="B248">
        <v>117.17</v>
      </c>
      <c r="C248" t="s">
        <v>286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</row>
    <row r="249" spans="1:22" x14ac:dyDescent="0.2">
      <c r="A249">
        <v>63</v>
      </c>
      <c r="B249" t="s">
        <v>139</v>
      </c>
      <c r="C249" t="s">
        <v>164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</row>
    <row r="250" spans="1:22" x14ac:dyDescent="0.2">
      <c r="A250">
        <v>65</v>
      </c>
      <c r="B250" t="s">
        <v>139</v>
      </c>
      <c r="C250" t="s">
        <v>287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</row>
    <row r="251" spans="1:22" x14ac:dyDescent="0.2">
      <c r="A251">
        <v>65</v>
      </c>
      <c r="B251">
        <v>117.17</v>
      </c>
      <c r="C251" t="s">
        <v>288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</row>
    <row r="252" spans="1:22" x14ac:dyDescent="0.2">
      <c r="A252">
        <v>65</v>
      </c>
      <c r="B252">
        <v>120.14</v>
      </c>
      <c r="C252" t="s">
        <v>289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</row>
    <row r="253" spans="1:22" x14ac:dyDescent="0.2">
      <c r="A253">
        <v>65</v>
      </c>
      <c r="B253">
        <v>120.17</v>
      </c>
      <c r="C253" t="s">
        <v>290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</row>
    <row r="254" spans="1:22" x14ac:dyDescent="0.2">
      <c r="A254">
        <v>66</v>
      </c>
      <c r="B254">
        <v>120.14</v>
      </c>
      <c r="C254" t="s">
        <v>291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</row>
    <row r="255" spans="1:22" x14ac:dyDescent="0.2">
      <c r="A255">
        <v>66</v>
      </c>
      <c r="B255" t="s">
        <v>139</v>
      </c>
      <c r="C255" t="s">
        <v>292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</row>
    <row r="256" spans="1:22" x14ac:dyDescent="0.2">
      <c r="A256">
        <v>66</v>
      </c>
      <c r="B256">
        <v>120.17</v>
      </c>
      <c r="C256" t="s">
        <v>293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</row>
    <row r="257" spans="1:22" x14ac:dyDescent="0.2">
      <c r="A257">
        <v>66</v>
      </c>
      <c r="B257">
        <v>117.17</v>
      </c>
      <c r="C257" t="s">
        <v>283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</row>
    <row r="258" spans="1:22" x14ac:dyDescent="0.2">
      <c r="A258">
        <v>67</v>
      </c>
      <c r="B258">
        <v>120.17</v>
      </c>
      <c r="C258" t="s">
        <v>294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0</v>
      </c>
      <c r="U258">
        <v>0</v>
      </c>
      <c r="V258">
        <v>0</v>
      </c>
    </row>
    <row r="259" spans="1:22" x14ac:dyDescent="0.2">
      <c r="A259">
        <v>67</v>
      </c>
      <c r="B259">
        <v>120.14</v>
      </c>
      <c r="C259" t="s">
        <v>295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</row>
    <row r="260" spans="1:22" x14ac:dyDescent="0.2">
      <c r="A260">
        <v>67</v>
      </c>
      <c r="B260">
        <v>117.17</v>
      </c>
      <c r="C260" t="s">
        <v>296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</row>
    <row r="261" spans="1:22" x14ac:dyDescent="0.2">
      <c r="A261">
        <v>67</v>
      </c>
      <c r="B261" t="s">
        <v>139</v>
      </c>
      <c r="C261" t="s">
        <v>297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</row>
    <row r="262" spans="1:22" x14ac:dyDescent="0.2">
      <c r="A262">
        <v>70</v>
      </c>
      <c r="B262">
        <v>120.14</v>
      </c>
      <c r="C262" t="s">
        <v>164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</row>
    <row r="263" spans="1:22" x14ac:dyDescent="0.2">
      <c r="A263">
        <v>70</v>
      </c>
      <c r="B263" t="s">
        <v>139</v>
      </c>
      <c r="C263" t="s">
        <v>149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</row>
    <row r="264" spans="1:22" x14ac:dyDescent="0.2">
      <c r="A264">
        <v>70</v>
      </c>
      <c r="B264">
        <v>120.17</v>
      </c>
      <c r="C264" t="s">
        <v>298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</row>
    <row r="265" spans="1:22" x14ac:dyDescent="0.2">
      <c r="A265">
        <v>70</v>
      </c>
      <c r="B265">
        <v>117.17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</row>
    <row r="266" spans="1:22" x14ac:dyDescent="0.2">
      <c r="A266">
        <v>71</v>
      </c>
      <c r="B266">
        <v>120.17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</row>
    <row r="267" spans="1:22" x14ac:dyDescent="0.2">
      <c r="A267">
        <v>71</v>
      </c>
      <c r="B267">
        <v>120.14</v>
      </c>
      <c r="C267" t="s">
        <v>299</v>
      </c>
      <c r="D267">
        <v>0</v>
      </c>
      <c r="E267">
        <v>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</row>
    <row r="268" spans="1:22" x14ac:dyDescent="0.2">
      <c r="A268">
        <v>71</v>
      </c>
      <c r="B268">
        <v>117.17</v>
      </c>
      <c r="C268" t="s">
        <v>142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</row>
    <row r="269" spans="1:22" x14ac:dyDescent="0.2">
      <c r="A269">
        <v>71</v>
      </c>
      <c r="B269" t="s">
        <v>139</v>
      </c>
      <c r="C269" t="s">
        <v>176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</row>
    <row r="270" spans="1:22" x14ac:dyDescent="0.2">
      <c r="A270">
        <v>72</v>
      </c>
      <c r="B270">
        <v>117.17</v>
      </c>
      <c r="C270" t="s">
        <v>300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</row>
    <row r="271" spans="1:22" x14ac:dyDescent="0.2">
      <c r="A271">
        <v>72</v>
      </c>
      <c r="B271">
        <v>120.17</v>
      </c>
      <c r="C271" t="s">
        <v>301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0</v>
      </c>
    </row>
    <row r="272" spans="1:22" x14ac:dyDescent="0.2">
      <c r="A272">
        <v>72</v>
      </c>
      <c r="B272" t="s">
        <v>139</v>
      </c>
      <c r="C272" t="s">
        <v>302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</row>
    <row r="273" spans="1:22" x14ac:dyDescent="0.2">
      <c r="A273">
        <v>72</v>
      </c>
      <c r="B273">
        <v>120.14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</row>
    <row r="274" spans="1:22" x14ac:dyDescent="0.2">
      <c r="A274">
        <v>73</v>
      </c>
      <c r="B274" t="s">
        <v>139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</row>
    <row r="275" spans="1:22" x14ac:dyDescent="0.2">
      <c r="A275">
        <v>73</v>
      </c>
      <c r="B275">
        <v>117.17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</row>
    <row r="276" spans="1:22" x14ac:dyDescent="0.2">
      <c r="A276">
        <v>73</v>
      </c>
      <c r="B276">
        <v>120.14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</row>
    <row r="277" spans="1:22" x14ac:dyDescent="0.2">
      <c r="A277">
        <v>73</v>
      </c>
      <c r="B277">
        <v>120.17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</row>
    <row r="278" spans="1:22" x14ac:dyDescent="0.2">
      <c r="A278">
        <v>74</v>
      </c>
      <c r="B278">
        <v>120.14</v>
      </c>
      <c r="C278" t="s">
        <v>164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</row>
    <row r="279" spans="1:22" x14ac:dyDescent="0.2">
      <c r="A279">
        <v>74</v>
      </c>
      <c r="B279" t="s">
        <v>139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</row>
    <row r="280" spans="1:22" x14ac:dyDescent="0.2">
      <c r="A280">
        <v>74</v>
      </c>
      <c r="B280">
        <v>120.17</v>
      </c>
      <c r="C280" t="s">
        <v>163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</row>
    <row r="281" spans="1:22" x14ac:dyDescent="0.2">
      <c r="A281">
        <v>74</v>
      </c>
      <c r="B281">
        <v>117.17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</row>
    <row r="282" spans="1:22" x14ac:dyDescent="0.2">
      <c r="A282">
        <v>75</v>
      </c>
      <c r="B282">
        <v>120.17</v>
      </c>
      <c r="C282" t="s">
        <v>303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</row>
    <row r="283" spans="1:22" x14ac:dyDescent="0.2">
      <c r="A283">
        <v>75</v>
      </c>
      <c r="B283">
        <v>120.14</v>
      </c>
      <c r="C283" t="s">
        <v>304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</row>
    <row r="284" spans="1:22" x14ac:dyDescent="0.2">
      <c r="A284">
        <v>75</v>
      </c>
      <c r="B284">
        <v>117.17</v>
      </c>
      <c r="C284" t="s">
        <v>22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</row>
    <row r="285" spans="1:22" x14ac:dyDescent="0.2">
      <c r="A285">
        <v>75</v>
      </c>
      <c r="B285" t="s">
        <v>139</v>
      </c>
      <c r="C285" t="s">
        <v>305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</row>
    <row r="286" spans="1:22" x14ac:dyDescent="0.2">
      <c r="A286">
        <v>76</v>
      </c>
      <c r="B286">
        <v>117.17</v>
      </c>
      <c r="C286" t="s">
        <v>306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</row>
    <row r="287" spans="1:22" x14ac:dyDescent="0.2">
      <c r="A287">
        <v>76</v>
      </c>
      <c r="B287">
        <v>120.17</v>
      </c>
      <c r="C287" t="s">
        <v>307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</row>
    <row r="288" spans="1:22" x14ac:dyDescent="0.2">
      <c r="A288">
        <v>76</v>
      </c>
      <c r="B288" t="s">
        <v>139</v>
      </c>
      <c r="C288" t="s">
        <v>308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</row>
    <row r="289" spans="1:22" x14ac:dyDescent="0.2">
      <c r="A289">
        <v>76</v>
      </c>
      <c r="B289">
        <v>120.14</v>
      </c>
      <c r="C289" t="s">
        <v>173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</row>
    <row r="290" spans="1:22" x14ac:dyDescent="0.2">
      <c r="A290">
        <v>77</v>
      </c>
      <c r="B290" t="s">
        <v>139</v>
      </c>
      <c r="C290" t="s">
        <v>174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</row>
    <row r="291" spans="1:22" x14ac:dyDescent="0.2">
      <c r="A291">
        <v>77</v>
      </c>
      <c r="B291">
        <v>117.17</v>
      </c>
      <c r="C291" t="s">
        <v>309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</row>
    <row r="292" spans="1:22" x14ac:dyDescent="0.2">
      <c r="A292">
        <v>77</v>
      </c>
      <c r="B292">
        <v>120.14</v>
      </c>
      <c r="C292" t="s">
        <v>310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</row>
    <row r="293" spans="1:22" x14ac:dyDescent="0.2">
      <c r="A293">
        <v>77</v>
      </c>
      <c r="B293">
        <v>120.17</v>
      </c>
      <c r="C293" t="s">
        <v>311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</row>
    <row r="294" spans="1:22" x14ac:dyDescent="0.2">
      <c r="A294">
        <v>82</v>
      </c>
      <c r="B294" t="s">
        <v>139</v>
      </c>
      <c r="C294" t="s">
        <v>312</v>
      </c>
      <c r="D294">
        <v>0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</row>
    <row r="295" spans="1:22" x14ac:dyDescent="0.2">
      <c r="A295">
        <v>82</v>
      </c>
      <c r="B295">
        <v>120.17</v>
      </c>
      <c r="C295" t="s">
        <v>313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</row>
    <row r="296" spans="1:22" x14ac:dyDescent="0.2">
      <c r="A296">
        <v>82</v>
      </c>
      <c r="B296">
        <v>120.14</v>
      </c>
      <c r="C296" t="s">
        <v>314</v>
      </c>
      <c r="D296">
        <v>0</v>
      </c>
      <c r="E296">
        <v>0</v>
      </c>
      <c r="F296">
        <v>0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</row>
    <row r="297" spans="1:22" x14ac:dyDescent="0.2">
      <c r="A297">
        <v>82</v>
      </c>
      <c r="B297">
        <v>117.17</v>
      </c>
      <c r="C297" t="s">
        <v>315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</row>
    <row r="298" spans="1:22" x14ac:dyDescent="0.2">
      <c r="A298">
        <v>83</v>
      </c>
      <c r="B298" t="s">
        <v>139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</row>
    <row r="299" spans="1:22" x14ac:dyDescent="0.2">
      <c r="A299">
        <v>83</v>
      </c>
      <c r="B299">
        <v>120.14</v>
      </c>
      <c r="C299" t="s">
        <v>316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</row>
    <row r="300" spans="1:22" x14ac:dyDescent="0.2">
      <c r="A300">
        <v>83</v>
      </c>
      <c r="B300">
        <v>117.17</v>
      </c>
      <c r="C300" t="s">
        <v>317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</row>
    <row r="301" spans="1:22" x14ac:dyDescent="0.2">
      <c r="A301">
        <v>83</v>
      </c>
      <c r="B301">
        <v>120.17</v>
      </c>
      <c r="C301" t="s">
        <v>164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</row>
    <row r="302" spans="1:22" x14ac:dyDescent="0.2">
      <c r="A302">
        <v>84</v>
      </c>
      <c r="B302">
        <v>117.17</v>
      </c>
      <c r="C302" t="s">
        <v>234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</row>
    <row r="303" spans="1:22" x14ac:dyDescent="0.2">
      <c r="A303">
        <v>84</v>
      </c>
      <c r="B303">
        <v>120.17</v>
      </c>
      <c r="C303" t="s">
        <v>318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</row>
    <row r="304" spans="1:22" x14ac:dyDescent="0.2">
      <c r="A304">
        <v>84</v>
      </c>
      <c r="B304" t="s">
        <v>139</v>
      </c>
      <c r="C304" t="s">
        <v>164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</row>
    <row r="305" spans="1:22" x14ac:dyDescent="0.2">
      <c r="A305">
        <v>84</v>
      </c>
      <c r="B305">
        <v>120.14</v>
      </c>
      <c r="C305" t="s">
        <v>319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</row>
    <row r="306" spans="1:22" x14ac:dyDescent="0.2">
      <c r="A306">
        <v>87</v>
      </c>
      <c r="B306">
        <v>120.17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</row>
    <row r="307" spans="1:22" x14ac:dyDescent="0.2">
      <c r="A307">
        <v>87</v>
      </c>
      <c r="B307">
        <v>120.14</v>
      </c>
      <c r="C307" t="s">
        <v>158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</row>
    <row r="308" spans="1:22" x14ac:dyDescent="0.2">
      <c r="A308">
        <v>87</v>
      </c>
      <c r="B308">
        <v>117.17</v>
      </c>
      <c r="C308" t="s">
        <v>320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</row>
    <row r="309" spans="1:22" x14ac:dyDescent="0.2">
      <c r="A309">
        <v>87</v>
      </c>
      <c r="B309" t="s">
        <v>139</v>
      </c>
      <c r="C309" t="s">
        <v>174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</row>
    <row r="310" spans="1:22" x14ac:dyDescent="0.2">
      <c r="A310">
        <v>89</v>
      </c>
      <c r="B310" t="s">
        <v>139</v>
      </c>
      <c r="C310" t="s">
        <v>321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</row>
    <row r="311" spans="1:22" x14ac:dyDescent="0.2">
      <c r="A311">
        <v>89</v>
      </c>
      <c r="B311">
        <v>117.17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</row>
    <row r="312" spans="1:22" x14ac:dyDescent="0.2">
      <c r="A312">
        <v>89</v>
      </c>
      <c r="B312">
        <v>120.14</v>
      </c>
      <c r="C312" t="s">
        <v>322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</row>
    <row r="313" spans="1:22" x14ac:dyDescent="0.2">
      <c r="A313">
        <v>89</v>
      </c>
      <c r="B313">
        <v>120.17</v>
      </c>
      <c r="C313" t="s">
        <v>323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</row>
    <row r="314" spans="1:22" x14ac:dyDescent="0.2">
      <c r="A314">
        <v>90</v>
      </c>
      <c r="B314">
        <v>120.14</v>
      </c>
      <c r="C314" t="s">
        <v>324</v>
      </c>
      <c r="D314">
        <v>0</v>
      </c>
      <c r="E314">
        <v>0</v>
      </c>
      <c r="F314">
        <v>0</v>
      </c>
      <c r="G314">
        <v>0</v>
      </c>
      <c r="H314">
        <v>1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</row>
    <row r="315" spans="1:22" x14ac:dyDescent="0.2">
      <c r="A315">
        <v>90</v>
      </c>
      <c r="B315" t="s">
        <v>139</v>
      </c>
      <c r="C315" t="s">
        <v>325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</row>
    <row r="316" spans="1:22" x14ac:dyDescent="0.2">
      <c r="A316">
        <v>90</v>
      </c>
      <c r="B316">
        <v>120.17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</row>
    <row r="317" spans="1:22" x14ac:dyDescent="0.2">
      <c r="A317">
        <v>90</v>
      </c>
      <c r="B317">
        <v>117.17</v>
      </c>
      <c r="C317" t="s">
        <v>326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</row>
    <row r="318" spans="1:22" x14ac:dyDescent="0.2">
      <c r="A318">
        <v>93</v>
      </c>
      <c r="B318" t="s">
        <v>139</v>
      </c>
      <c r="C318" t="s">
        <v>221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</row>
    <row r="319" spans="1:22" x14ac:dyDescent="0.2">
      <c r="A319">
        <v>93</v>
      </c>
      <c r="B319">
        <v>117.17</v>
      </c>
      <c r="C319" t="s">
        <v>327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</row>
    <row r="320" spans="1:22" x14ac:dyDescent="0.2">
      <c r="A320">
        <v>93</v>
      </c>
      <c r="B320">
        <v>120.14</v>
      </c>
      <c r="C320" t="s">
        <v>328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</row>
    <row r="321" spans="1:22" x14ac:dyDescent="0.2">
      <c r="A321">
        <v>93</v>
      </c>
      <c r="B321">
        <v>120.17</v>
      </c>
      <c r="C321" t="s">
        <v>329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</row>
    <row r="322" spans="1:22" x14ac:dyDescent="0.2">
      <c r="A322">
        <v>94</v>
      </c>
      <c r="B322">
        <v>120.14</v>
      </c>
      <c r="C322" t="s">
        <v>319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</row>
    <row r="323" spans="1:22" x14ac:dyDescent="0.2">
      <c r="A323">
        <v>94</v>
      </c>
      <c r="B323" t="s">
        <v>139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</row>
    <row r="324" spans="1:22" x14ac:dyDescent="0.2">
      <c r="A324">
        <v>94</v>
      </c>
      <c r="B324">
        <v>120.17</v>
      </c>
      <c r="C324" t="s">
        <v>330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</row>
    <row r="325" spans="1:22" x14ac:dyDescent="0.2">
      <c r="A325">
        <v>94</v>
      </c>
      <c r="B325">
        <v>117.17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</row>
    <row r="326" spans="1:22" x14ac:dyDescent="0.2">
      <c r="A326">
        <v>95</v>
      </c>
      <c r="B326">
        <v>120.17</v>
      </c>
      <c r="C326" t="s">
        <v>187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</row>
    <row r="327" spans="1:22" x14ac:dyDescent="0.2">
      <c r="A327">
        <v>95</v>
      </c>
      <c r="B327">
        <v>120.14</v>
      </c>
      <c r="C327" t="s">
        <v>331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</row>
    <row r="328" spans="1:22" x14ac:dyDescent="0.2">
      <c r="A328">
        <v>95</v>
      </c>
      <c r="B328">
        <v>117.17</v>
      </c>
      <c r="C328" t="s">
        <v>332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</row>
    <row r="329" spans="1:22" x14ac:dyDescent="0.2">
      <c r="A329">
        <v>95</v>
      </c>
      <c r="B329" t="s">
        <v>139</v>
      </c>
      <c r="C329" t="s">
        <v>333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</row>
    <row r="330" spans="1:22" x14ac:dyDescent="0.2">
      <c r="A330">
        <v>96</v>
      </c>
      <c r="B330">
        <v>117.17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</row>
    <row r="331" spans="1:22" x14ac:dyDescent="0.2">
      <c r="A331">
        <v>96</v>
      </c>
      <c r="B331">
        <v>120.17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</row>
    <row r="332" spans="1:22" x14ac:dyDescent="0.2">
      <c r="A332">
        <v>96</v>
      </c>
      <c r="B332" t="s">
        <v>139</v>
      </c>
      <c r="C332" t="s">
        <v>334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</row>
    <row r="333" spans="1:22" x14ac:dyDescent="0.2">
      <c r="A333">
        <v>96</v>
      </c>
      <c r="B333">
        <v>120.14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</row>
    <row r="334" spans="1:22" x14ac:dyDescent="0.2">
      <c r="A334">
        <v>97</v>
      </c>
      <c r="B334" t="s">
        <v>139</v>
      </c>
      <c r="C334" t="s">
        <v>335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</row>
    <row r="335" spans="1:22" x14ac:dyDescent="0.2">
      <c r="A335">
        <v>97</v>
      </c>
      <c r="B335">
        <v>117.17</v>
      </c>
      <c r="C335" t="s">
        <v>164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</row>
    <row r="336" spans="1:22" x14ac:dyDescent="0.2">
      <c r="A336">
        <v>97</v>
      </c>
      <c r="B336">
        <v>120.14</v>
      </c>
      <c r="C336" t="s">
        <v>164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</row>
    <row r="337" spans="1:22" x14ac:dyDescent="0.2">
      <c r="A337">
        <v>97</v>
      </c>
      <c r="B337">
        <v>120.17</v>
      </c>
      <c r="C337" t="s">
        <v>164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</row>
    <row r="338" spans="1:22" x14ac:dyDescent="0.2">
      <c r="A338">
        <v>98</v>
      </c>
      <c r="B338">
        <v>120.14</v>
      </c>
      <c r="C338" t="s">
        <v>336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</row>
    <row r="339" spans="1:22" x14ac:dyDescent="0.2">
      <c r="A339">
        <v>98</v>
      </c>
      <c r="B339" t="s">
        <v>139</v>
      </c>
      <c r="C339" t="s">
        <v>337</v>
      </c>
      <c r="D339">
        <v>0</v>
      </c>
      <c r="E339">
        <v>0</v>
      </c>
      <c r="F339">
        <v>1</v>
      </c>
      <c r="G339">
        <v>0</v>
      </c>
      <c r="H339">
        <v>1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1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</row>
    <row r="340" spans="1:22" x14ac:dyDescent="0.2">
      <c r="A340">
        <v>98</v>
      </c>
      <c r="B340">
        <v>120.17</v>
      </c>
      <c r="C340" t="s">
        <v>338</v>
      </c>
      <c r="D340">
        <v>0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0</v>
      </c>
    </row>
    <row r="341" spans="1:22" x14ac:dyDescent="0.2">
      <c r="A341">
        <v>98</v>
      </c>
      <c r="B341">
        <v>117.17</v>
      </c>
      <c r="C341" t="s">
        <v>339</v>
      </c>
      <c r="D341">
        <v>1</v>
      </c>
      <c r="E341">
        <v>0</v>
      </c>
      <c r="F341">
        <v>0</v>
      </c>
      <c r="G341">
        <v>1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</row>
    <row r="342" spans="1:22" x14ac:dyDescent="0.2">
      <c r="A342">
        <v>99</v>
      </c>
      <c r="B342">
        <v>120.17</v>
      </c>
      <c r="C342" t="s">
        <v>150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</row>
    <row r="343" spans="1:22" x14ac:dyDescent="0.2">
      <c r="A343">
        <v>99</v>
      </c>
      <c r="B343">
        <v>120.14</v>
      </c>
      <c r="C343" t="s">
        <v>177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</row>
    <row r="344" spans="1:22" x14ac:dyDescent="0.2">
      <c r="A344">
        <v>99</v>
      </c>
      <c r="B344">
        <v>117.17</v>
      </c>
      <c r="C344" t="s">
        <v>177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</row>
    <row r="345" spans="1:22" x14ac:dyDescent="0.2">
      <c r="A345">
        <v>99</v>
      </c>
      <c r="B345" t="s">
        <v>139</v>
      </c>
      <c r="C345" t="s">
        <v>316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</row>
    <row r="346" spans="1:22" x14ac:dyDescent="0.2">
      <c r="A346">
        <v>100</v>
      </c>
      <c r="B346">
        <v>117.17</v>
      </c>
      <c r="C346" t="s">
        <v>340</v>
      </c>
      <c r="D346">
        <v>0</v>
      </c>
      <c r="E346">
        <v>0</v>
      </c>
      <c r="F346">
        <v>1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</row>
    <row r="347" spans="1:22" x14ac:dyDescent="0.2">
      <c r="A347">
        <v>100</v>
      </c>
      <c r="B347">
        <v>120.17</v>
      </c>
      <c r="C347" t="s">
        <v>341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</row>
    <row r="348" spans="1:22" x14ac:dyDescent="0.2">
      <c r="A348">
        <v>100</v>
      </c>
      <c r="B348" t="s">
        <v>139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</row>
    <row r="349" spans="1:22" x14ac:dyDescent="0.2">
      <c r="A349">
        <v>100</v>
      </c>
      <c r="B349">
        <v>120.14</v>
      </c>
      <c r="C349" t="s">
        <v>342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1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</row>
    <row r="350" spans="1:22" x14ac:dyDescent="0.2">
      <c r="A350">
        <v>101</v>
      </c>
      <c r="B350" t="s">
        <v>139</v>
      </c>
      <c r="C350" t="s">
        <v>343</v>
      </c>
      <c r="D350">
        <v>1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</row>
    <row r="351" spans="1:22" x14ac:dyDescent="0.2">
      <c r="A351">
        <v>101</v>
      </c>
      <c r="B351">
        <v>117.17</v>
      </c>
      <c r="C351" t="s">
        <v>149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</row>
    <row r="352" spans="1:22" x14ac:dyDescent="0.2">
      <c r="A352">
        <v>101</v>
      </c>
      <c r="B352">
        <v>120.14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</row>
    <row r="353" spans="1:22" x14ac:dyDescent="0.2">
      <c r="A353">
        <v>101</v>
      </c>
      <c r="B353">
        <v>120.17</v>
      </c>
      <c r="C353" t="s">
        <v>344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</row>
    <row r="354" spans="1:22" x14ac:dyDescent="0.2">
      <c r="A354">
        <v>102</v>
      </c>
      <c r="B354">
        <v>120.14</v>
      </c>
      <c r="C354" t="s">
        <v>345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</row>
    <row r="355" spans="1:22" x14ac:dyDescent="0.2">
      <c r="A355">
        <v>102</v>
      </c>
      <c r="B355" t="s">
        <v>139</v>
      </c>
      <c r="C355" t="s">
        <v>158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</row>
    <row r="356" spans="1:22" x14ac:dyDescent="0.2">
      <c r="A356">
        <v>102</v>
      </c>
      <c r="B356">
        <v>120.17</v>
      </c>
      <c r="C356" t="s">
        <v>268</v>
      </c>
      <c r="D356">
        <v>0</v>
      </c>
      <c r="E356">
        <v>0</v>
      </c>
      <c r="F356">
        <v>0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</row>
    <row r="357" spans="1:22" x14ac:dyDescent="0.2">
      <c r="A357">
        <v>102</v>
      </c>
      <c r="B357">
        <v>117.17</v>
      </c>
      <c r="C357" t="s">
        <v>193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</row>
    <row r="358" spans="1:22" x14ac:dyDescent="0.2">
      <c r="A358">
        <v>103</v>
      </c>
      <c r="B358">
        <v>120.17</v>
      </c>
      <c r="C358" t="s">
        <v>164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</row>
    <row r="359" spans="1:22" x14ac:dyDescent="0.2">
      <c r="A359">
        <v>103</v>
      </c>
      <c r="B359">
        <v>120.14</v>
      </c>
      <c r="C359" t="s">
        <v>346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</row>
    <row r="360" spans="1:22" x14ac:dyDescent="0.2">
      <c r="A360">
        <v>103</v>
      </c>
      <c r="B360">
        <v>117.17</v>
      </c>
      <c r="C360" t="s">
        <v>224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</row>
    <row r="361" spans="1:22" x14ac:dyDescent="0.2">
      <c r="A361">
        <v>103</v>
      </c>
      <c r="B361" t="s">
        <v>139</v>
      </c>
      <c r="C361" t="s">
        <v>347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</row>
    <row r="362" spans="1:22" x14ac:dyDescent="0.2">
      <c r="A362">
        <v>104</v>
      </c>
      <c r="B362">
        <v>117.17</v>
      </c>
      <c r="C362" t="s">
        <v>348</v>
      </c>
      <c r="D362">
        <v>0</v>
      </c>
      <c r="E362">
        <v>0</v>
      </c>
      <c r="F362">
        <v>0</v>
      </c>
      <c r="G362">
        <v>1</v>
      </c>
      <c r="H362">
        <v>1</v>
      </c>
      <c r="I362">
        <v>0</v>
      </c>
      <c r="J362">
        <v>1</v>
      </c>
      <c r="K362">
        <v>0</v>
      </c>
      <c r="L362">
        <v>1</v>
      </c>
      <c r="M362">
        <v>0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</row>
    <row r="363" spans="1:22" x14ac:dyDescent="0.2">
      <c r="A363">
        <v>104</v>
      </c>
      <c r="B363">
        <v>120.17</v>
      </c>
      <c r="C363" t="s">
        <v>349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</row>
    <row r="364" spans="1:22" x14ac:dyDescent="0.2">
      <c r="A364">
        <v>104</v>
      </c>
      <c r="B364" t="s">
        <v>139</v>
      </c>
      <c r="C364" t="s">
        <v>350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>
        <v>0</v>
      </c>
      <c r="Q364">
        <v>1</v>
      </c>
      <c r="R364">
        <v>0</v>
      </c>
      <c r="S364">
        <v>0</v>
      </c>
      <c r="T364">
        <v>0</v>
      </c>
      <c r="U364">
        <v>1</v>
      </c>
      <c r="V364">
        <v>0</v>
      </c>
    </row>
    <row r="365" spans="1:22" x14ac:dyDescent="0.2">
      <c r="A365">
        <v>104</v>
      </c>
      <c r="B365">
        <v>120.14</v>
      </c>
      <c r="C365" t="s">
        <v>351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1</v>
      </c>
      <c r="T365">
        <v>0</v>
      </c>
      <c r="U365">
        <v>1</v>
      </c>
      <c r="V365">
        <v>0</v>
      </c>
    </row>
    <row r="366" spans="1:22" x14ac:dyDescent="0.2">
      <c r="A366">
        <v>105</v>
      </c>
      <c r="B366" t="s">
        <v>139</v>
      </c>
      <c r="C366" t="s">
        <v>352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</row>
    <row r="367" spans="1:22" x14ac:dyDescent="0.2">
      <c r="A367">
        <v>105</v>
      </c>
      <c r="B367">
        <v>117.17</v>
      </c>
      <c r="C367" t="s">
        <v>174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</row>
    <row r="368" spans="1:22" x14ac:dyDescent="0.2">
      <c r="A368">
        <v>105</v>
      </c>
      <c r="B368">
        <v>120.14</v>
      </c>
      <c r="C368" t="s">
        <v>293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</row>
    <row r="369" spans="1:22" x14ac:dyDescent="0.2">
      <c r="A369">
        <v>105</v>
      </c>
      <c r="B369">
        <v>120.17</v>
      </c>
      <c r="C369" t="s">
        <v>234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</row>
    <row r="370" spans="1:22" x14ac:dyDescent="0.2">
      <c r="A370">
        <v>106</v>
      </c>
      <c r="B370">
        <v>120.14</v>
      </c>
      <c r="C370" t="s">
        <v>264</v>
      </c>
      <c r="D370">
        <v>0</v>
      </c>
      <c r="E370">
        <v>0</v>
      </c>
      <c r="F370">
        <v>0</v>
      </c>
      <c r="G370">
        <v>0</v>
      </c>
      <c r="H370">
        <v>1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</row>
    <row r="371" spans="1:22" x14ac:dyDescent="0.2">
      <c r="A371">
        <v>106</v>
      </c>
      <c r="B371" t="s">
        <v>139</v>
      </c>
      <c r="C371" t="s">
        <v>164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</row>
    <row r="372" spans="1:22" x14ac:dyDescent="0.2">
      <c r="A372">
        <v>106</v>
      </c>
      <c r="B372">
        <v>120.17</v>
      </c>
      <c r="C372" t="s">
        <v>353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</row>
    <row r="373" spans="1:22" x14ac:dyDescent="0.2">
      <c r="A373">
        <v>106</v>
      </c>
      <c r="B373">
        <v>117.17</v>
      </c>
      <c r="C373" t="s">
        <v>193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</row>
    <row r="374" spans="1:22" x14ac:dyDescent="0.2">
      <c r="A374">
        <v>107</v>
      </c>
      <c r="B374">
        <v>120.17</v>
      </c>
      <c r="C374" t="s">
        <v>164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</row>
    <row r="375" spans="1:22" x14ac:dyDescent="0.2">
      <c r="A375">
        <v>107</v>
      </c>
      <c r="B375">
        <v>120.14</v>
      </c>
      <c r="C375" t="s">
        <v>164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</row>
    <row r="376" spans="1:22" x14ac:dyDescent="0.2">
      <c r="A376">
        <v>107</v>
      </c>
      <c r="B376">
        <v>117.17</v>
      </c>
      <c r="C376" t="s">
        <v>164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</row>
    <row r="377" spans="1:22" x14ac:dyDescent="0.2">
      <c r="A377">
        <v>107</v>
      </c>
      <c r="B377" t="s">
        <v>139</v>
      </c>
      <c r="C377" t="s">
        <v>164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</row>
    <row r="378" spans="1:22" x14ac:dyDescent="0.2">
      <c r="A378">
        <v>108</v>
      </c>
      <c r="B378">
        <v>117.17</v>
      </c>
      <c r="C378" t="s">
        <v>354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</row>
    <row r="379" spans="1:22" x14ac:dyDescent="0.2">
      <c r="A379">
        <v>108</v>
      </c>
      <c r="B379">
        <v>120.17</v>
      </c>
      <c r="C379" t="s">
        <v>193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</row>
    <row r="380" spans="1:22" x14ac:dyDescent="0.2">
      <c r="A380">
        <v>108</v>
      </c>
      <c r="B380" t="s">
        <v>139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</row>
    <row r="381" spans="1:22" x14ac:dyDescent="0.2">
      <c r="A381">
        <v>108</v>
      </c>
      <c r="B381">
        <v>120.14</v>
      </c>
      <c r="C381" t="s">
        <v>319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</row>
    <row r="382" spans="1:22" x14ac:dyDescent="0.2">
      <c r="A382">
        <v>109</v>
      </c>
      <c r="B382" t="s">
        <v>139</v>
      </c>
      <c r="C382" t="s">
        <v>355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</row>
    <row r="383" spans="1:22" x14ac:dyDescent="0.2">
      <c r="A383">
        <v>109</v>
      </c>
      <c r="B383">
        <v>117.17</v>
      </c>
      <c r="C383" t="s">
        <v>356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</row>
    <row r="384" spans="1:22" x14ac:dyDescent="0.2">
      <c r="A384">
        <v>109</v>
      </c>
      <c r="B384">
        <v>120.14</v>
      </c>
      <c r="C384" t="s">
        <v>357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</row>
    <row r="385" spans="1:22" x14ac:dyDescent="0.2">
      <c r="A385">
        <v>109</v>
      </c>
      <c r="B385">
        <v>120.17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</row>
    <row r="386" spans="1:22" x14ac:dyDescent="0.2">
      <c r="A386">
        <v>110</v>
      </c>
      <c r="B386">
        <v>120.14</v>
      </c>
      <c r="C386" t="s">
        <v>164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</row>
    <row r="387" spans="1:22" x14ac:dyDescent="0.2">
      <c r="A387">
        <v>110</v>
      </c>
      <c r="B387" t="s">
        <v>139</v>
      </c>
      <c r="C387" t="s">
        <v>164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</row>
    <row r="388" spans="1:22" x14ac:dyDescent="0.2">
      <c r="A388">
        <v>110</v>
      </c>
      <c r="B388">
        <v>120.17</v>
      </c>
      <c r="C388" t="s">
        <v>148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</row>
    <row r="389" spans="1:22" x14ac:dyDescent="0.2">
      <c r="A389">
        <v>110</v>
      </c>
      <c r="B389">
        <v>117.17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</row>
    <row r="390" spans="1:22" x14ac:dyDescent="0.2">
      <c r="A390">
        <v>111</v>
      </c>
      <c r="B390">
        <v>120.17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</row>
    <row r="391" spans="1:22" x14ac:dyDescent="0.2">
      <c r="A391">
        <v>111</v>
      </c>
      <c r="B391">
        <v>120.14</v>
      </c>
      <c r="C391" t="s">
        <v>293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</row>
    <row r="392" spans="1:22" x14ac:dyDescent="0.2">
      <c r="A392">
        <v>111</v>
      </c>
      <c r="B392">
        <v>117.17</v>
      </c>
      <c r="C392" t="s">
        <v>358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</row>
    <row r="393" spans="1:22" x14ac:dyDescent="0.2">
      <c r="A393">
        <v>111</v>
      </c>
      <c r="B393" t="s">
        <v>139</v>
      </c>
      <c r="C393" t="s">
        <v>293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</row>
    <row r="394" spans="1:22" x14ac:dyDescent="0.2">
      <c r="A394">
        <v>112</v>
      </c>
      <c r="B394">
        <v>117.17</v>
      </c>
      <c r="C394" t="s">
        <v>359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</row>
    <row r="395" spans="1:22" x14ac:dyDescent="0.2">
      <c r="A395">
        <v>112</v>
      </c>
      <c r="B395">
        <v>120.17</v>
      </c>
      <c r="C395" t="s">
        <v>360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1</v>
      </c>
      <c r="T395">
        <v>0</v>
      </c>
      <c r="U395">
        <v>0</v>
      </c>
      <c r="V395">
        <v>0</v>
      </c>
    </row>
    <row r="396" spans="1:22" x14ac:dyDescent="0.2">
      <c r="A396">
        <v>112</v>
      </c>
      <c r="B396" t="s">
        <v>139</v>
      </c>
      <c r="C396" t="s">
        <v>361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</row>
    <row r="397" spans="1:22" x14ac:dyDescent="0.2">
      <c r="A397">
        <v>112</v>
      </c>
      <c r="B397">
        <v>120.14</v>
      </c>
      <c r="C397" t="s">
        <v>362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</row>
    <row r="398" spans="1:22" x14ac:dyDescent="0.2">
      <c r="A398">
        <v>113</v>
      </c>
      <c r="B398" t="s">
        <v>139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</row>
    <row r="399" spans="1:22" x14ac:dyDescent="0.2">
      <c r="A399">
        <v>113</v>
      </c>
      <c r="B399">
        <v>117.17</v>
      </c>
      <c r="C399" t="s">
        <v>335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</row>
    <row r="400" spans="1:22" x14ac:dyDescent="0.2">
      <c r="A400">
        <v>113</v>
      </c>
      <c r="B400">
        <v>120.14</v>
      </c>
      <c r="C400" t="s">
        <v>363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</row>
    <row r="401" spans="1:22" x14ac:dyDescent="0.2">
      <c r="A401">
        <v>113</v>
      </c>
      <c r="B401">
        <v>120.17</v>
      </c>
      <c r="C401" t="s">
        <v>364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</row>
    <row r="402" spans="1:22" x14ac:dyDescent="0.2">
      <c r="A402">
        <v>114</v>
      </c>
      <c r="B402">
        <v>120.14</v>
      </c>
      <c r="C402" t="s">
        <v>365</v>
      </c>
      <c r="D402">
        <v>0</v>
      </c>
      <c r="E402">
        <v>0</v>
      </c>
      <c r="F402">
        <v>0</v>
      </c>
      <c r="G402">
        <v>0</v>
      </c>
      <c r="H402">
        <v>1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</row>
    <row r="403" spans="1:22" x14ac:dyDescent="0.2">
      <c r="A403">
        <v>114</v>
      </c>
      <c r="B403" t="s">
        <v>139</v>
      </c>
      <c r="C403" t="s">
        <v>366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0</v>
      </c>
      <c r="J403">
        <v>1</v>
      </c>
      <c r="K403">
        <v>0</v>
      </c>
      <c r="L403">
        <v>1</v>
      </c>
      <c r="M403">
        <v>0</v>
      </c>
      <c r="N403">
        <v>0</v>
      </c>
      <c r="O403">
        <v>0</v>
      </c>
      <c r="P403">
        <v>1</v>
      </c>
      <c r="Q403">
        <v>0</v>
      </c>
      <c r="R403">
        <v>0</v>
      </c>
      <c r="S403">
        <v>1</v>
      </c>
      <c r="T403">
        <v>0</v>
      </c>
      <c r="U403">
        <v>0</v>
      </c>
      <c r="V403">
        <v>0</v>
      </c>
    </row>
    <row r="404" spans="1:22" x14ac:dyDescent="0.2">
      <c r="A404">
        <v>114</v>
      </c>
      <c r="B404">
        <v>120.17</v>
      </c>
      <c r="C404" t="s">
        <v>367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</row>
    <row r="405" spans="1:22" x14ac:dyDescent="0.2">
      <c r="A405">
        <v>114</v>
      </c>
      <c r="B405">
        <v>117.17</v>
      </c>
      <c r="C405" t="s">
        <v>368</v>
      </c>
      <c r="D405">
        <v>0</v>
      </c>
      <c r="E405">
        <v>0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</row>
    <row r="406" spans="1:22" x14ac:dyDescent="0.2">
      <c r="A406">
        <v>115</v>
      </c>
      <c r="B406">
        <v>120.17</v>
      </c>
      <c r="C406" t="s">
        <v>369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</row>
    <row r="407" spans="1:22" x14ac:dyDescent="0.2">
      <c r="A407">
        <v>115</v>
      </c>
      <c r="B407">
        <v>120.14</v>
      </c>
      <c r="C407" t="s">
        <v>370</v>
      </c>
      <c r="D407">
        <v>0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</row>
    <row r="408" spans="1:22" x14ac:dyDescent="0.2">
      <c r="A408">
        <v>115</v>
      </c>
      <c r="B408">
        <v>117.17</v>
      </c>
      <c r="C408" t="s">
        <v>371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</row>
    <row r="409" spans="1:22" x14ac:dyDescent="0.2">
      <c r="A409">
        <v>115</v>
      </c>
      <c r="B409" t="s">
        <v>139</v>
      </c>
      <c r="C409" t="s">
        <v>372</v>
      </c>
      <c r="D409">
        <v>0</v>
      </c>
      <c r="E409">
        <v>0</v>
      </c>
      <c r="F409">
        <v>0</v>
      </c>
      <c r="G409">
        <v>0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</row>
    <row r="410" spans="1:22" x14ac:dyDescent="0.2">
      <c r="A410">
        <v>116</v>
      </c>
      <c r="B410">
        <v>117.17</v>
      </c>
      <c r="C410" t="s">
        <v>373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</row>
    <row r="411" spans="1:22" x14ac:dyDescent="0.2">
      <c r="A411">
        <v>116</v>
      </c>
      <c r="B411">
        <v>120.17</v>
      </c>
      <c r="C411" t="s">
        <v>374</v>
      </c>
      <c r="D411">
        <v>0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</row>
    <row r="412" spans="1:22" x14ac:dyDescent="0.2">
      <c r="A412">
        <v>116</v>
      </c>
      <c r="B412" t="s">
        <v>139</v>
      </c>
      <c r="C412" t="s">
        <v>375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</row>
    <row r="413" spans="1:22" x14ac:dyDescent="0.2">
      <c r="A413">
        <v>116</v>
      </c>
      <c r="B413">
        <v>120.14</v>
      </c>
      <c r="C413" t="s">
        <v>376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</row>
    <row r="414" spans="1:22" x14ac:dyDescent="0.2">
      <c r="A414">
        <v>117</v>
      </c>
      <c r="B414" t="s">
        <v>139</v>
      </c>
      <c r="C414" t="s">
        <v>377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</row>
    <row r="415" spans="1:22" x14ac:dyDescent="0.2">
      <c r="A415">
        <v>117</v>
      </c>
      <c r="B415">
        <v>117.17</v>
      </c>
      <c r="C415" t="s">
        <v>378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</v>
      </c>
      <c r="R415">
        <v>0</v>
      </c>
      <c r="S415">
        <v>0</v>
      </c>
      <c r="T415">
        <v>0</v>
      </c>
      <c r="U415">
        <v>0</v>
      </c>
      <c r="V415">
        <v>0</v>
      </c>
    </row>
    <row r="416" spans="1:22" x14ac:dyDescent="0.2">
      <c r="A416">
        <v>117</v>
      </c>
      <c r="B416">
        <v>120.14</v>
      </c>
      <c r="C416" t="s">
        <v>379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</row>
    <row r="417" spans="1:22" x14ac:dyDescent="0.2">
      <c r="A417">
        <v>117</v>
      </c>
      <c r="B417">
        <v>120.17</v>
      </c>
      <c r="C417" t="s">
        <v>380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</row>
    <row r="418" spans="1:22" x14ac:dyDescent="0.2">
      <c r="A418">
        <v>118</v>
      </c>
      <c r="B418">
        <v>120.14</v>
      </c>
      <c r="C418" t="s">
        <v>164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</row>
    <row r="419" spans="1:22" x14ac:dyDescent="0.2">
      <c r="A419">
        <v>118</v>
      </c>
      <c r="B419" t="s">
        <v>139</v>
      </c>
      <c r="C419" t="s">
        <v>319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</row>
    <row r="420" spans="1:22" x14ac:dyDescent="0.2">
      <c r="A420">
        <v>118</v>
      </c>
      <c r="B420">
        <v>120.17</v>
      </c>
      <c r="C420" t="s">
        <v>164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</row>
    <row r="421" spans="1:22" x14ac:dyDescent="0.2">
      <c r="A421">
        <v>118</v>
      </c>
      <c r="B421">
        <v>117.17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</row>
    <row r="422" spans="1:22" x14ac:dyDescent="0.2">
      <c r="A422">
        <v>119</v>
      </c>
      <c r="B422">
        <v>120.17</v>
      </c>
      <c r="C422" t="s">
        <v>381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1</v>
      </c>
      <c r="M422">
        <v>0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</row>
    <row r="423" spans="1:22" x14ac:dyDescent="0.2">
      <c r="A423">
        <v>119</v>
      </c>
      <c r="B423">
        <v>120.14</v>
      </c>
      <c r="C423" t="s">
        <v>382</v>
      </c>
      <c r="D423">
        <v>0</v>
      </c>
      <c r="E423">
        <v>0</v>
      </c>
      <c r="F423">
        <v>1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</row>
    <row r="424" spans="1:22" x14ac:dyDescent="0.2">
      <c r="A424">
        <v>119</v>
      </c>
      <c r="B424">
        <v>117.17</v>
      </c>
      <c r="C424" t="s">
        <v>383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1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1</v>
      </c>
      <c r="R424">
        <v>0</v>
      </c>
      <c r="S424">
        <v>0</v>
      </c>
      <c r="T424">
        <v>0</v>
      </c>
      <c r="U424">
        <v>0</v>
      </c>
      <c r="V424">
        <v>0</v>
      </c>
    </row>
    <row r="425" spans="1:22" x14ac:dyDescent="0.2">
      <c r="A425">
        <v>119</v>
      </c>
      <c r="B425" t="s">
        <v>139</v>
      </c>
      <c r="C425" t="s">
        <v>384</v>
      </c>
      <c r="D425">
        <v>0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</row>
    <row r="426" spans="1:22" x14ac:dyDescent="0.2">
      <c r="A426">
        <v>120</v>
      </c>
      <c r="B426">
        <v>117.17</v>
      </c>
      <c r="C426" t="s">
        <v>385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</row>
    <row r="427" spans="1:22" x14ac:dyDescent="0.2">
      <c r="A427">
        <v>120</v>
      </c>
      <c r="B427">
        <v>120.17</v>
      </c>
      <c r="C427" t="s">
        <v>158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</row>
    <row r="428" spans="1:22" x14ac:dyDescent="0.2">
      <c r="A428">
        <v>120</v>
      </c>
      <c r="B428" t="s">
        <v>139</v>
      </c>
      <c r="C428" t="s">
        <v>386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</row>
    <row r="429" spans="1:22" x14ac:dyDescent="0.2">
      <c r="A429">
        <v>120</v>
      </c>
      <c r="B429">
        <v>120.14</v>
      </c>
      <c r="C429" t="s">
        <v>387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</row>
    <row r="430" spans="1:22" x14ac:dyDescent="0.2">
      <c r="A430">
        <v>121</v>
      </c>
      <c r="B430" t="s">
        <v>139</v>
      </c>
      <c r="C430" t="s">
        <v>190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</row>
    <row r="431" spans="1:22" x14ac:dyDescent="0.2">
      <c r="A431">
        <v>121</v>
      </c>
      <c r="B431">
        <v>117.17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</row>
    <row r="432" spans="1:22" x14ac:dyDescent="0.2">
      <c r="A432">
        <v>121</v>
      </c>
      <c r="B432">
        <v>120.14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</row>
    <row r="433" spans="1:22" x14ac:dyDescent="0.2">
      <c r="A433">
        <v>121</v>
      </c>
      <c r="B433">
        <v>120.17</v>
      </c>
      <c r="C433" t="s">
        <v>190</v>
      </c>
      <c r="D433">
        <v>0</v>
      </c>
      <c r="E433">
        <v>0</v>
      </c>
      <c r="F433">
        <v>0</v>
      </c>
      <c r="G433">
        <v>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</row>
    <row r="434" spans="1:22" x14ac:dyDescent="0.2">
      <c r="A434">
        <v>122</v>
      </c>
      <c r="B434">
        <v>120.14</v>
      </c>
      <c r="C434" t="s">
        <v>388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</row>
    <row r="435" spans="1:22" x14ac:dyDescent="0.2">
      <c r="A435">
        <v>122</v>
      </c>
      <c r="B435" t="s">
        <v>139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</row>
    <row r="436" spans="1:22" x14ac:dyDescent="0.2">
      <c r="A436">
        <v>122</v>
      </c>
      <c r="B436">
        <v>120.17</v>
      </c>
      <c r="C436" t="s">
        <v>190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</row>
    <row r="437" spans="1:22" x14ac:dyDescent="0.2">
      <c r="A437">
        <v>122</v>
      </c>
      <c r="B437">
        <v>117.17</v>
      </c>
      <c r="C437" t="s">
        <v>389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</row>
    <row r="438" spans="1:22" x14ac:dyDescent="0.2">
      <c r="A438">
        <v>123</v>
      </c>
      <c r="B438">
        <v>120.17</v>
      </c>
      <c r="C438" t="s">
        <v>390</v>
      </c>
      <c r="D438">
        <v>0</v>
      </c>
      <c r="E438">
        <v>0</v>
      </c>
      <c r="F438">
        <v>0</v>
      </c>
      <c r="G438">
        <v>1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</row>
    <row r="439" spans="1:22" x14ac:dyDescent="0.2">
      <c r="A439">
        <v>123</v>
      </c>
      <c r="B439">
        <v>120.14</v>
      </c>
      <c r="C439" t="s">
        <v>391</v>
      </c>
      <c r="D439">
        <v>0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</row>
    <row r="440" spans="1:22" x14ac:dyDescent="0.2">
      <c r="A440">
        <v>123</v>
      </c>
      <c r="B440">
        <v>117.17</v>
      </c>
      <c r="C440" t="s">
        <v>392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</row>
    <row r="441" spans="1:22" x14ac:dyDescent="0.2">
      <c r="A441">
        <v>123</v>
      </c>
      <c r="B441" t="s">
        <v>139</v>
      </c>
      <c r="C441" t="s">
        <v>393</v>
      </c>
      <c r="D441">
        <v>0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  <c r="U441">
        <v>0</v>
      </c>
      <c r="V441">
        <v>0</v>
      </c>
    </row>
    <row r="442" spans="1:22" x14ac:dyDescent="0.2">
      <c r="A442">
        <v>124</v>
      </c>
      <c r="B442">
        <v>117.17</v>
      </c>
      <c r="C442" t="s">
        <v>164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</row>
    <row r="443" spans="1:22" x14ac:dyDescent="0.2">
      <c r="A443">
        <v>124</v>
      </c>
      <c r="B443">
        <v>120.17</v>
      </c>
      <c r="C443" t="s">
        <v>163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</row>
    <row r="444" spans="1:22" x14ac:dyDescent="0.2">
      <c r="A444">
        <v>124</v>
      </c>
      <c r="B444" t="s">
        <v>139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</row>
    <row r="445" spans="1:22" x14ac:dyDescent="0.2">
      <c r="A445">
        <v>124</v>
      </c>
      <c r="B445">
        <v>120.14</v>
      </c>
      <c r="C445" t="s">
        <v>164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</row>
    <row r="446" spans="1:22" x14ac:dyDescent="0.2">
      <c r="A446">
        <v>125</v>
      </c>
      <c r="B446" t="s">
        <v>139</v>
      </c>
      <c r="C446" t="s">
        <v>394</v>
      </c>
      <c r="D446">
        <v>0</v>
      </c>
      <c r="E446">
        <v>0</v>
      </c>
      <c r="F446">
        <v>0</v>
      </c>
      <c r="G446">
        <v>0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</row>
    <row r="447" spans="1:22" x14ac:dyDescent="0.2">
      <c r="A447">
        <v>125</v>
      </c>
      <c r="B447">
        <v>117.17</v>
      </c>
      <c r="C447" t="s">
        <v>395</v>
      </c>
      <c r="D447">
        <v>0</v>
      </c>
      <c r="E447">
        <v>0</v>
      </c>
      <c r="F447">
        <v>0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</row>
    <row r="448" spans="1:22" x14ac:dyDescent="0.2">
      <c r="A448">
        <v>125</v>
      </c>
      <c r="B448">
        <v>120.14</v>
      </c>
      <c r="C448" t="s">
        <v>396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</row>
    <row r="449" spans="1:22" x14ac:dyDescent="0.2">
      <c r="A449">
        <v>125</v>
      </c>
      <c r="B449">
        <v>120.17</v>
      </c>
      <c r="C449" t="s">
        <v>397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</row>
    <row r="450" spans="1:22" x14ac:dyDescent="0.2">
      <c r="A450">
        <v>126</v>
      </c>
      <c r="B450">
        <v>120.14</v>
      </c>
      <c r="C450" t="s">
        <v>398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</row>
    <row r="451" spans="1:22" x14ac:dyDescent="0.2">
      <c r="A451">
        <v>126</v>
      </c>
      <c r="B451" t="s">
        <v>139</v>
      </c>
      <c r="C451" t="s">
        <v>399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</row>
    <row r="452" spans="1:22" x14ac:dyDescent="0.2">
      <c r="A452">
        <v>126</v>
      </c>
      <c r="B452">
        <v>120.17</v>
      </c>
      <c r="C452" t="s">
        <v>400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</row>
    <row r="453" spans="1:22" x14ac:dyDescent="0.2">
      <c r="A453">
        <v>126</v>
      </c>
      <c r="B453">
        <v>117.17</v>
      </c>
      <c r="C453" t="s">
        <v>401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</row>
    <row r="454" spans="1:22" x14ac:dyDescent="0.2">
      <c r="A454">
        <v>127</v>
      </c>
      <c r="B454">
        <v>120.17</v>
      </c>
      <c r="C454" t="s">
        <v>402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</row>
    <row r="455" spans="1:22" x14ac:dyDescent="0.2">
      <c r="A455">
        <v>127</v>
      </c>
      <c r="B455">
        <v>120.14</v>
      </c>
      <c r="C455" t="s">
        <v>403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</row>
    <row r="456" spans="1:22" x14ac:dyDescent="0.2">
      <c r="A456">
        <v>127</v>
      </c>
      <c r="B456">
        <v>117.17</v>
      </c>
      <c r="C456" t="s">
        <v>404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</row>
    <row r="457" spans="1:22" x14ac:dyDescent="0.2">
      <c r="A457">
        <v>127</v>
      </c>
      <c r="B457" t="s">
        <v>139</v>
      </c>
      <c r="C457" t="s">
        <v>405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</row>
    <row r="458" spans="1:22" x14ac:dyDescent="0.2">
      <c r="A458">
        <v>128</v>
      </c>
      <c r="B458">
        <v>117.17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</row>
    <row r="459" spans="1:22" x14ac:dyDescent="0.2">
      <c r="A459">
        <v>128</v>
      </c>
      <c r="B459">
        <v>120.17</v>
      </c>
      <c r="C459" t="s">
        <v>164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</row>
    <row r="460" spans="1:22" x14ac:dyDescent="0.2">
      <c r="A460">
        <v>128</v>
      </c>
      <c r="B460" t="s">
        <v>139</v>
      </c>
      <c r="C460" t="s">
        <v>148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</row>
    <row r="461" spans="1:22" x14ac:dyDescent="0.2">
      <c r="A461">
        <v>128</v>
      </c>
      <c r="B461">
        <v>120.14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</row>
    <row r="462" spans="1:22" x14ac:dyDescent="0.2">
      <c r="A462">
        <v>129</v>
      </c>
      <c r="B462" t="s">
        <v>139</v>
      </c>
      <c r="C462" t="s">
        <v>164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</row>
    <row r="463" spans="1:22" x14ac:dyDescent="0.2">
      <c r="A463">
        <v>129</v>
      </c>
      <c r="B463">
        <v>117.17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</row>
    <row r="464" spans="1:22" x14ac:dyDescent="0.2">
      <c r="A464">
        <v>129</v>
      </c>
      <c r="B464">
        <v>120.14</v>
      </c>
      <c r="C464" t="s">
        <v>406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</row>
    <row r="465" spans="1:22" x14ac:dyDescent="0.2">
      <c r="A465">
        <v>129</v>
      </c>
      <c r="B465">
        <v>120.17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</row>
    <row r="466" spans="1:22" x14ac:dyDescent="0.2">
      <c r="A466">
        <v>130</v>
      </c>
      <c r="B466">
        <v>120.14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</row>
    <row r="467" spans="1:22" x14ac:dyDescent="0.2">
      <c r="A467">
        <v>130</v>
      </c>
      <c r="B467" t="s">
        <v>139</v>
      </c>
      <c r="C467" t="s">
        <v>164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</row>
    <row r="468" spans="1:22" x14ac:dyDescent="0.2">
      <c r="A468">
        <v>130</v>
      </c>
      <c r="B468">
        <v>120.17</v>
      </c>
      <c r="C468" t="s">
        <v>149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</row>
    <row r="469" spans="1:22" x14ac:dyDescent="0.2">
      <c r="A469">
        <v>130</v>
      </c>
      <c r="B469">
        <v>117.17</v>
      </c>
      <c r="C469" t="s">
        <v>265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</row>
    <row r="470" spans="1:22" x14ac:dyDescent="0.2">
      <c r="A470">
        <v>131</v>
      </c>
      <c r="B470">
        <v>120.17</v>
      </c>
      <c r="C470" t="s">
        <v>407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</row>
    <row r="471" spans="1:22" x14ac:dyDescent="0.2">
      <c r="A471">
        <v>131</v>
      </c>
      <c r="B471">
        <v>120.14</v>
      </c>
      <c r="C471" t="s">
        <v>164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</row>
    <row r="472" spans="1:22" x14ac:dyDescent="0.2">
      <c r="A472">
        <v>131</v>
      </c>
      <c r="B472">
        <v>117.17</v>
      </c>
      <c r="C472" t="s">
        <v>295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</row>
    <row r="473" spans="1:22" x14ac:dyDescent="0.2">
      <c r="A473">
        <v>131</v>
      </c>
      <c r="B473" t="s">
        <v>139</v>
      </c>
      <c r="C473" t="s">
        <v>158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</row>
    <row r="474" spans="1:22" x14ac:dyDescent="0.2">
      <c r="A474">
        <v>132</v>
      </c>
      <c r="B474">
        <v>117.17</v>
      </c>
      <c r="C474" t="s">
        <v>164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</row>
    <row r="475" spans="1:22" x14ac:dyDescent="0.2">
      <c r="A475">
        <v>132</v>
      </c>
      <c r="B475">
        <v>120.17</v>
      </c>
      <c r="C475" t="s">
        <v>164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</row>
    <row r="476" spans="1:22" x14ac:dyDescent="0.2">
      <c r="A476">
        <v>132</v>
      </c>
      <c r="B476" t="s">
        <v>139</v>
      </c>
      <c r="C476" t="s">
        <v>164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</row>
    <row r="477" spans="1:22" x14ac:dyDescent="0.2">
      <c r="A477">
        <v>132</v>
      </c>
      <c r="B477">
        <v>120.14</v>
      </c>
      <c r="C477" t="s">
        <v>164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</row>
    <row r="478" spans="1:22" x14ac:dyDescent="0.2">
      <c r="A478">
        <v>133</v>
      </c>
      <c r="B478" t="s">
        <v>139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</row>
    <row r="479" spans="1:22" x14ac:dyDescent="0.2">
      <c r="A479">
        <v>133</v>
      </c>
      <c r="B479">
        <v>117.17</v>
      </c>
      <c r="C479" t="s">
        <v>158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</row>
    <row r="480" spans="1:22" x14ac:dyDescent="0.2">
      <c r="A480">
        <v>133</v>
      </c>
      <c r="B480">
        <v>120.14</v>
      </c>
      <c r="C480" t="s">
        <v>408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</row>
    <row r="481" spans="1:22" x14ac:dyDescent="0.2">
      <c r="A481">
        <v>133</v>
      </c>
      <c r="B481">
        <v>120.17</v>
      </c>
      <c r="C481" t="s">
        <v>372</v>
      </c>
      <c r="D481">
        <v>0</v>
      </c>
      <c r="E481">
        <v>0</v>
      </c>
      <c r="F481">
        <v>0</v>
      </c>
      <c r="G481">
        <v>0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</row>
    <row r="482" spans="1:22" x14ac:dyDescent="0.2">
      <c r="A482">
        <v>134</v>
      </c>
      <c r="B482">
        <v>120.14</v>
      </c>
      <c r="C482" t="s">
        <v>164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</row>
    <row r="483" spans="1:22" x14ac:dyDescent="0.2">
      <c r="A483">
        <v>134</v>
      </c>
      <c r="B483" t="s">
        <v>139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</row>
    <row r="484" spans="1:22" x14ac:dyDescent="0.2">
      <c r="A484">
        <v>134</v>
      </c>
      <c r="B484">
        <v>120.17</v>
      </c>
      <c r="C484" t="s">
        <v>409</v>
      </c>
      <c r="D484">
        <v>0</v>
      </c>
      <c r="E484">
        <v>0</v>
      </c>
      <c r="F484">
        <v>0</v>
      </c>
      <c r="G484">
        <v>0</v>
      </c>
      <c r="H484">
        <v>1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1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</row>
    <row r="485" spans="1:22" x14ac:dyDescent="0.2">
      <c r="A485">
        <v>134</v>
      </c>
      <c r="B485">
        <v>117.17</v>
      </c>
      <c r="C485" t="s">
        <v>149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</row>
    <row r="486" spans="1:22" x14ac:dyDescent="0.2">
      <c r="A486">
        <v>135</v>
      </c>
      <c r="B486">
        <v>120.17</v>
      </c>
      <c r="C486" t="s">
        <v>164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</row>
    <row r="487" spans="1:22" x14ac:dyDescent="0.2">
      <c r="A487">
        <v>135</v>
      </c>
      <c r="B487">
        <v>120.14</v>
      </c>
      <c r="C487" t="s">
        <v>148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</row>
    <row r="488" spans="1:22" x14ac:dyDescent="0.2">
      <c r="A488">
        <v>135</v>
      </c>
      <c r="B488">
        <v>117.17</v>
      </c>
      <c r="C488" t="s">
        <v>224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</row>
    <row r="489" spans="1:22" x14ac:dyDescent="0.2">
      <c r="A489">
        <v>135</v>
      </c>
      <c r="B489" t="s">
        <v>139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</row>
    <row r="490" spans="1:22" x14ac:dyDescent="0.2">
      <c r="A490">
        <v>136</v>
      </c>
      <c r="B490">
        <v>117.17</v>
      </c>
      <c r="C490" t="s">
        <v>410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</row>
    <row r="491" spans="1:22" x14ac:dyDescent="0.2">
      <c r="A491">
        <v>136</v>
      </c>
      <c r="B491">
        <v>120.17</v>
      </c>
      <c r="C491" t="s">
        <v>411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</row>
    <row r="492" spans="1:22" x14ac:dyDescent="0.2">
      <c r="A492">
        <v>136</v>
      </c>
      <c r="B492" t="s">
        <v>139</v>
      </c>
      <c r="C492" t="s">
        <v>224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</row>
    <row r="493" spans="1:22" x14ac:dyDescent="0.2">
      <c r="A493">
        <v>136</v>
      </c>
      <c r="B493">
        <v>120.14</v>
      </c>
      <c r="C493" t="s">
        <v>412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</row>
    <row r="494" spans="1:22" x14ac:dyDescent="0.2">
      <c r="A494">
        <v>137</v>
      </c>
      <c r="B494" t="s">
        <v>139</v>
      </c>
      <c r="C494" t="s">
        <v>413</v>
      </c>
      <c r="D494">
        <v>0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</row>
    <row r="495" spans="1:22" x14ac:dyDescent="0.2">
      <c r="A495">
        <v>137</v>
      </c>
      <c r="B495">
        <v>117.17</v>
      </c>
      <c r="C495" t="s">
        <v>346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</row>
    <row r="496" spans="1:22" x14ac:dyDescent="0.2">
      <c r="A496">
        <v>137</v>
      </c>
      <c r="B496">
        <v>120.14</v>
      </c>
      <c r="C496" t="s">
        <v>414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</row>
    <row r="497" spans="1:22" x14ac:dyDescent="0.2">
      <c r="A497">
        <v>137</v>
      </c>
      <c r="B497">
        <v>120.17</v>
      </c>
      <c r="C497" t="s">
        <v>174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</row>
    <row r="498" spans="1:22" x14ac:dyDescent="0.2">
      <c r="A498">
        <v>138</v>
      </c>
      <c r="B498">
        <v>120.14</v>
      </c>
      <c r="C498" t="s">
        <v>415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</row>
    <row r="499" spans="1:22" x14ac:dyDescent="0.2">
      <c r="A499">
        <v>138</v>
      </c>
      <c r="B499" t="s">
        <v>139</v>
      </c>
      <c r="C499" t="s">
        <v>416</v>
      </c>
      <c r="D499">
        <v>0</v>
      </c>
      <c r="E499">
        <v>0</v>
      </c>
      <c r="F499">
        <v>1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</row>
    <row r="500" spans="1:22" x14ac:dyDescent="0.2">
      <c r="A500">
        <v>138</v>
      </c>
      <c r="B500">
        <v>120.17</v>
      </c>
      <c r="C500" t="s">
        <v>417</v>
      </c>
      <c r="D500">
        <v>1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</row>
    <row r="501" spans="1:22" x14ac:dyDescent="0.2">
      <c r="A501">
        <v>138</v>
      </c>
      <c r="B501">
        <v>117.17</v>
      </c>
      <c r="C501" t="s">
        <v>418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</row>
    <row r="502" spans="1:22" x14ac:dyDescent="0.2">
      <c r="A502">
        <v>139</v>
      </c>
      <c r="B502">
        <v>120.17</v>
      </c>
      <c r="C502" t="s">
        <v>335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</row>
    <row r="503" spans="1:22" x14ac:dyDescent="0.2">
      <c r="A503">
        <v>139</v>
      </c>
      <c r="B503">
        <v>120.14</v>
      </c>
      <c r="C503" t="s">
        <v>419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</row>
    <row r="504" spans="1:22" x14ac:dyDescent="0.2">
      <c r="A504">
        <v>139</v>
      </c>
      <c r="B504">
        <v>117.17</v>
      </c>
      <c r="C504" t="s">
        <v>420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</row>
    <row r="505" spans="1:22" x14ac:dyDescent="0.2">
      <c r="A505">
        <v>139</v>
      </c>
      <c r="B505" t="s">
        <v>139</v>
      </c>
      <c r="C505" t="s">
        <v>421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</row>
    <row r="506" spans="1:22" x14ac:dyDescent="0.2">
      <c r="A506">
        <v>140</v>
      </c>
      <c r="B506">
        <v>117.17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</row>
    <row r="507" spans="1:22" x14ac:dyDescent="0.2">
      <c r="A507">
        <v>140</v>
      </c>
      <c r="B507">
        <v>120.17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</row>
    <row r="508" spans="1:22" x14ac:dyDescent="0.2">
      <c r="A508">
        <v>140</v>
      </c>
      <c r="B508" t="s">
        <v>139</v>
      </c>
      <c r="C508" t="s">
        <v>422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</row>
    <row r="509" spans="1:22" x14ac:dyDescent="0.2">
      <c r="A509">
        <v>140</v>
      </c>
      <c r="B509">
        <v>120.14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</row>
    <row r="510" spans="1:22" x14ac:dyDescent="0.2">
      <c r="A510">
        <v>141</v>
      </c>
      <c r="B510" t="s">
        <v>139</v>
      </c>
      <c r="C510" t="s">
        <v>423</v>
      </c>
      <c r="D510">
        <v>0</v>
      </c>
      <c r="E510">
        <v>0</v>
      </c>
      <c r="F510">
        <v>0</v>
      </c>
      <c r="G510">
        <v>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</row>
    <row r="511" spans="1:22" x14ac:dyDescent="0.2">
      <c r="A511">
        <v>141</v>
      </c>
      <c r="B511">
        <v>117.17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</row>
    <row r="512" spans="1:22" x14ac:dyDescent="0.2">
      <c r="A512">
        <v>141</v>
      </c>
      <c r="B512">
        <v>120.14</v>
      </c>
      <c r="C512" t="s">
        <v>425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</row>
    <row r="513" spans="1:22" x14ac:dyDescent="0.2">
      <c r="A513">
        <v>141</v>
      </c>
      <c r="B513">
        <v>120.17</v>
      </c>
      <c r="C513" t="s">
        <v>164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</row>
    <row r="514" spans="1:22" x14ac:dyDescent="0.2">
      <c r="A514">
        <v>142</v>
      </c>
      <c r="B514">
        <v>120.14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</row>
    <row r="515" spans="1:22" x14ac:dyDescent="0.2">
      <c r="A515">
        <v>142</v>
      </c>
      <c r="B515" t="s">
        <v>139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</row>
    <row r="516" spans="1:22" x14ac:dyDescent="0.2">
      <c r="A516">
        <v>142</v>
      </c>
      <c r="B516">
        <v>120.17</v>
      </c>
      <c r="C516" t="s">
        <v>193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</row>
    <row r="517" spans="1:22" x14ac:dyDescent="0.2">
      <c r="A517">
        <v>142</v>
      </c>
      <c r="B517">
        <v>117.17</v>
      </c>
      <c r="C517" t="s">
        <v>170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</row>
    <row r="518" spans="1:22" x14ac:dyDescent="0.2">
      <c r="A518">
        <v>143</v>
      </c>
      <c r="B518">
        <v>120.17</v>
      </c>
      <c r="C518" t="s">
        <v>164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</row>
    <row r="519" spans="1:22" x14ac:dyDescent="0.2">
      <c r="A519">
        <v>143</v>
      </c>
      <c r="B519">
        <v>120.14</v>
      </c>
      <c r="C519" t="s">
        <v>158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</row>
    <row r="520" spans="1:22" x14ac:dyDescent="0.2">
      <c r="A520">
        <v>143</v>
      </c>
      <c r="B520">
        <v>117.17</v>
      </c>
      <c r="C520" t="s">
        <v>193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</row>
    <row r="521" spans="1:22" x14ac:dyDescent="0.2">
      <c r="A521">
        <v>143</v>
      </c>
      <c r="B521" t="s">
        <v>139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</row>
    <row r="522" spans="1:22" x14ac:dyDescent="0.2">
      <c r="A522">
        <v>144</v>
      </c>
      <c r="B522">
        <v>117.17</v>
      </c>
      <c r="C522" t="s">
        <v>335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</row>
    <row r="523" spans="1:22" x14ac:dyDescent="0.2">
      <c r="A523">
        <v>144</v>
      </c>
      <c r="B523">
        <v>120.17</v>
      </c>
      <c r="C523" t="s">
        <v>308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</row>
    <row r="524" spans="1:22" x14ac:dyDescent="0.2">
      <c r="A524">
        <v>144</v>
      </c>
      <c r="B524" t="s">
        <v>139</v>
      </c>
      <c r="C524" t="s">
        <v>308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</row>
    <row r="525" spans="1:22" x14ac:dyDescent="0.2">
      <c r="A525">
        <v>144</v>
      </c>
      <c r="B525">
        <v>120.14</v>
      </c>
      <c r="C525" t="s">
        <v>206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</row>
    <row r="526" spans="1:22" x14ac:dyDescent="0.2">
      <c r="A526">
        <v>145</v>
      </c>
      <c r="B526" t="s">
        <v>139</v>
      </c>
      <c r="C526" t="s">
        <v>426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</row>
    <row r="527" spans="1:22" x14ac:dyDescent="0.2">
      <c r="A527">
        <v>145</v>
      </c>
      <c r="B527">
        <v>117.17</v>
      </c>
      <c r="C527" t="s">
        <v>205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</v>
      </c>
      <c r="R527">
        <v>0</v>
      </c>
      <c r="S527">
        <v>0</v>
      </c>
      <c r="T527">
        <v>0</v>
      </c>
      <c r="U527">
        <v>0</v>
      </c>
      <c r="V527">
        <v>0</v>
      </c>
    </row>
    <row r="528" spans="1:22" x14ac:dyDescent="0.2">
      <c r="A528">
        <v>145</v>
      </c>
      <c r="B528">
        <v>120.14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</row>
    <row r="529" spans="1:22" x14ac:dyDescent="0.2">
      <c r="A529">
        <v>145</v>
      </c>
      <c r="B529">
        <v>120.17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</row>
    <row r="530" spans="1:22" x14ac:dyDescent="0.2">
      <c r="A530">
        <v>146</v>
      </c>
      <c r="B530">
        <v>120.14</v>
      </c>
      <c r="C530" t="s">
        <v>427</v>
      </c>
      <c r="D530">
        <v>0</v>
      </c>
      <c r="E530">
        <v>0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</row>
    <row r="531" spans="1:22" x14ac:dyDescent="0.2">
      <c r="A531">
        <v>146</v>
      </c>
      <c r="B531" t="s">
        <v>139</v>
      </c>
      <c r="C531" t="s">
        <v>428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</row>
    <row r="532" spans="1:22" x14ac:dyDescent="0.2">
      <c r="A532">
        <v>146</v>
      </c>
      <c r="B532">
        <v>120.17</v>
      </c>
      <c r="C532" t="s">
        <v>429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1</v>
      </c>
    </row>
    <row r="533" spans="1:22" x14ac:dyDescent="0.2">
      <c r="A533">
        <v>146</v>
      </c>
      <c r="B533">
        <v>117.17</v>
      </c>
      <c r="C533" t="s">
        <v>430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</row>
    <row r="534" spans="1:22" x14ac:dyDescent="0.2">
      <c r="A534">
        <v>147</v>
      </c>
      <c r="B534">
        <v>120.17</v>
      </c>
      <c r="C534" t="s">
        <v>164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</row>
    <row r="535" spans="1:22" x14ac:dyDescent="0.2">
      <c r="A535">
        <v>147</v>
      </c>
      <c r="B535">
        <v>120.14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</row>
    <row r="536" spans="1:22" x14ac:dyDescent="0.2">
      <c r="A536">
        <v>147</v>
      </c>
      <c r="B536">
        <v>117.17</v>
      </c>
      <c r="C536" t="s">
        <v>164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</row>
    <row r="537" spans="1:22" x14ac:dyDescent="0.2">
      <c r="A537">
        <v>147</v>
      </c>
      <c r="B537" t="s">
        <v>139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</row>
    <row r="538" spans="1:22" x14ac:dyDescent="0.2">
      <c r="A538">
        <v>148</v>
      </c>
      <c r="B538">
        <v>117.17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</row>
    <row r="539" spans="1:22" x14ac:dyDescent="0.2">
      <c r="A539">
        <v>148</v>
      </c>
      <c r="B539">
        <v>120.17</v>
      </c>
      <c r="C539" t="s">
        <v>164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</row>
    <row r="540" spans="1:22" x14ac:dyDescent="0.2">
      <c r="A540">
        <v>148</v>
      </c>
      <c r="B540" t="s">
        <v>139</v>
      </c>
      <c r="C540" t="s">
        <v>150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</row>
    <row r="541" spans="1:22" x14ac:dyDescent="0.2">
      <c r="A541">
        <v>148</v>
      </c>
      <c r="B541">
        <v>120.14</v>
      </c>
      <c r="C541" t="s">
        <v>224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</row>
    <row r="542" spans="1:22" x14ac:dyDescent="0.2">
      <c r="A542">
        <v>158</v>
      </c>
      <c r="B542">
        <v>120.14</v>
      </c>
      <c r="C542" t="s">
        <v>164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</row>
    <row r="543" spans="1:22" x14ac:dyDescent="0.2">
      <c r="A543">
        <v>158</v>
      </c>
      <c r="B543" t="s">
        <v>139</v>
      </c>
      <c r="C543" t="s">
        <v>164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</row>
    <row r="544" spans="1:22" x14ac:dyDescent="0.2">
      <c r="A544">
        <v>158</v>
      </c>
      <c r="B544">
        <v>120.17</v>
      </c>
      <c r="C544" t="s">
        <v>204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</row>
    <row r="545" spans="1:22" x14ac:dyDescent="0.2">
      <c r="A545">
        <v>158</v>
      </c>
      <c r="B545">
        <v>117.17</v>
      </c>
      <c r="C545" t="s">
        <v>431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</row>
    <row r="546" spans="1:22" x14ac:dyDescent="0.2">
      <c r="A546">
        <v>159</v>
      </c>
      <c r="B546">
        <v>120.17</v>
      </c>
      <c r="C546" t="s">
        <v>164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</row>
    <row r="547" spans="1:22" x14ac:dyDescent="0.2">
      <c r="A547">
        <v>159</v>
      </c>
      <c r="B547">
        <v>120.14</v>
      </c>
      <c r="C547" t="s">
        <v>164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</row>
    <row r="548" spans="1:22" x14ac:dyDescent="0.2">
      <c r="A548">
        <v>159</v>
      </c>
      <c r="B548">
        <v>117.17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</row>
    <row r="549" spans="1:22" x14ac:dyDescent="0.2">
      <c r="A549">
        <v>159</v>
      </c>
      <c r="B549" t="s">
        <v>139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</row>
    <row r="550" spans="1:22" x14ac:dyDescent="0.2">
      <c r="A550">
        <v>160</v>
      </c>
      <c r="B550">
        <v>117.17</v>
      </c>
      <c r="C550" t="s">
        <v>432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1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</row>
    <row r="551" spans="1:22" x14ac:dyDescent="0.2">
      <c r="A551">
        <v>160</v>
      </c>
      <c r="B551">
        <v>120.17</v>
      </c>
      <c r="C551" t="s">
        <v>433</v>
      </c>
      <c r="D551">
        <v>0</v>
      </c>
      <c r="E551">
        <v>0</v>
      </c>
      <c r="F551">
        <v>0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</row>
    <row r="552" spans="1:22" x14ac:dyDescent="0.2">
      <c r="A552">
        <v>160</v>
      </c>
      <c r="B552" t="s">
        <v>139</v>
      </c>
      <c r="C552" t="s">
        <v>434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</row>
    <row r="553" spans="1:22" x14ac:dyDescent="0.2">
      <c r="A553">
        <v>160</v>
      </c>
      <c r="B553">
        <v>120.14</v>
      </c>
      <c r="C553" t="s">
        <v>268</v>
      </c>
      <c r="D553">
        <v>0</v>
      </c>
      <c r="E553">
        <v>0</v>
      </c>
      <c r="F553">
        <v>0</v>
      </c>
      <c r="G553">
        <v>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1FF91-A2BD-3C49-9E32-A50AB716BFDA}">
  <sheetPr codeName="XLSTAT_20201111_104356_1">
    <tabColor rgb="FF007800"/>
  </sheetPr>
  <dimension ref="B1:V410"/>
  <sheetViews>
    <sheetView zoomScaleNormal="100" workbookViewId="0">
      <selection activeCell="B16" sqref="B16:B34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540</v>
      </c>
    </row>
    <row r="2" spans="2:3" x14ac:dyDescent="0.2">
      <c r="B2" t="s">
        <v>435</v>
      </c>
    </row>
    <row r="3" spans="2:3" x14ac:dyDescent="0.2">
      <c r="B3" t="s">
        <v>436</v>
      </c>
    </row>
    <row r="4" spans="2:3" x14ac:dyDescent="0.2">
      <c r="B4" t="s">
        <v>437</v>
      </c>
    </row>
    <row r="5" spans="2:3" x14ac:dyDescent="0.2">
      <c r="B5" t="s">
        <v>438</v>
      </c>
    </row>
    <row r="6" spans="2:3" x14ac:dyDescent="0.2">
      <c r="B6" t="s">
        <v>439</v>
      </c>
    </row>
    <row r="7" spans="2:3" x14ac:dyDescent="0.2">
      <c r="B7" t="s">
        <v>440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5" t="s">
        <v>443</v>
      </c>
      <c r="C15" s="6" t="s">
        <v>444</v>
      </c>
    </row>
    <row r="16" spans="2:3" x14ac:dyDescent="0.2">
      <c r="B16" s="7" t="s">
        <v>3</v>
      </c>
      <c r="C16" s="9">
        <v>0.77926910628011892</v>
      </c>
    </row>
    <row r="17" spans="2:3" x14ac:dyDescent="0.2">
      <c r="B17" s="4" t="s">
        <v>4</v>
      </c>
      <c r="C17" s="10">
        <v>0.39162517627108029</v>
      </c>
    </row>
    <row r="18" spans="2:3" x14ac:dyDescent="0.2">
      <c r="B18" s="4" t="s">
        <v>5</v>
      </c>
      <c r="C18" s="10">
        <v>0.58803932363618872</v>
      </c>
    </row>
    <row r="19" spans="2:3" x14ac:dyDescent="0.2">
      <c r="B19" s="4" t="s">
        <v>6</v>
      </c>
      <c r="C19" s="10">
        <v>0.53194837121048866</v>
      </c>
    </row>
    <row r="20" spans="2:3" x14ac:dyDescent="0.2">
      <c r="B20" s="4" t="s">
        <v>7</v>
      </c>
      <c r="C20" s="10">
        <v>0.19211265089868257</v>
      </c>
    </row>
    <row r="21" spans="2:3" x14ac:dyDescent="0.2">
      <c r="B21" s="4" t="s">
        <v>8</v>
      </c>
      <c r="C21" s="10">
        <v>0.39162517627108029</v>
      </c>
    </row>
    <row r="22" spans="2:3" x14ac:dyDescent="0.2">
      <c r="B22" s="4" t="s">
        <v>9</v>
      </c>
      <c r="C22" s="10">
        <v>0.47055399812647303</v>
      </c>
    </row>
    <row r="23" spans="2:3" x14ac:dyDescent="0.2">
      <c r="B23" s="4" t="s">
        <v>10</v>
      </c>
      <c r="C23" s="10">
        <v>0.29283432871764581</v>
      </c>
    </row>
    <row r="24" spans="2:3" x14ac:dyDescent="0.2">
      <c r="B24" s="4" t="s">
        <v>11</v>
      </c>
      <c r="C24" s="10">
        <v>0.80125195690120088</v>
      </c>
    </row>
    <row r="25" spans="2:3" x14ac:dyDescent="0.2">
      <c r="B25" s="4" t="s">
        <v>12</v>
      </c>
      <c r="C25" s="10">
        <v>0.77926910628011892</v>
      </c>
    </row>
    <row r="26" spans="2:3" x14ac:dyDescent="0.2">
      <c r="B26" s="4" t="s">
        <v>13</v>
      </c>
      <c r="C26" s="10">
        <v>0.25031965552966307</v>
      </c>
    </row>
    <row r="27" spans="2:3" x14ac:dyDescent="0.2">
      <c r="B27" s="4" t="s">
        <v>14</v>
      </c>
      <c r="C27" s="10">
        <v>0.50616521909390877</v>
      </c>
    </row>
    <row r="28" spans="2:3" x14ac:dyDescent="0.2">
      <c r="B28" s="4" t="s">
        <v>15</v>
      </c>
      <c r="C28" s="10">
        <v>0.39162517627108029</v>
      </c>
    </row>
    <row r="29" spans="2:3" x14ac:dyDescent="0.2">
      <c r="B29" s="4" t="s">
        <v>16</v>
      </c>
      <c r="C29" s="10">
        <v>0.82738402849609871</v>
      </c>
    </row>
    <row r="30" spans="2:3" x14ac:dyDescent="0.2">
      <c r="B30" s="4" t="s">
        <v>17</v>
      </c>
      <c r="C30" s="10">
        <v>0.11161022509471152</v>
      </c>
    </row>
    <row r="31" spans="2:3" x14ac:dyDescent="0.2">
      <c r="B31" s="4" t="s">
        <v>18</v>
      </c>
      <c r="C31" s="10">
        <v>0.47923264505333329</v>
      </c>
    </row>
    <row r="32" spans="2:3" x14ac:dyDescent="0.2">
      <c r="B32" s="4" t="s">
        <v>19</v>
      </c>
      <c r="C32" s="10">
        <v>0.57240670447088005</v>
      </c>
    </row>
    <row r="33" spans="2:6" x14ac:dyDescent="0.2">
      <c r="B33" s="4" t="s">
        <v>20</v>
      </c>
      <c r="C33" s="10">
        <v>0.10333317829620103</v>
      </c>
    </row>
    <row r="34" spans="2:6" ht="17" thickBot="1" x14ac:dyDescent="0.25">
      <c r="B34" s="8" t="s">
        <v>21</v>
      </c>
      <c r="C34" s="11">
        <v>0.11161022509471152</v>
      </c>
    </row>
    <row r="37" spans="2:6" x14ac:dyDescent="0.2">
      <c r="B37" s="3" t="s">
        <v>445</v>
      </c>
    </row>
    <row r="38" spans="2:6" ht="17" thickBot="1" x14ac:dyDescent="0.25"/>
    <row r="39" spans="2:6" ht="17" x14ac:dyDescent="0.2">
      <c r="B39" s="5" t="s">
        <v>443</v>
      </c>
      <c r="C39" s="6" t="s">
        <v>463</v>
      </c>
      <c r="D39" s="6" t="s">
        <v>464</v>
      </c>
      <c r="E39" s="6" t="s">
        <v>465</v>
      </c>
      <c r="F39" s="6" t="s">
        <v>139</v>
      </c>
    </row>
    <row r="40" spans="2:6" x14ac:dyDescent="0.2">
      <c r="B40" s="7" t="s">
        <v>3</v>
      </c>
      <c r="C40" s="12" t="s">
        <v>446</v>
      </c>
      <c r="D40" s="12" t="s">
        <v>447</v>
      </c>
      <c r="E40" s="12" t="s">
        <v>448</v>
      </c>
      <c r="F40" s="12" t="s">
        <v>448</v>
      </c>
    </row>
    <row r="41" spans="2:6" x14ac:dyDescent="0.2">
      <c r="B41" s="4" t="s">
        <v>4</v>
      </c>
      <c r="C41" s="13" t="s">
        <v>449</v>
      </c>
      <c r="D41" s="13" t="s">
        <v>447</v>
      </c>
      <c r="E41" s="13" t="s">
        <v>449</v>
      </c>
      <c r="F41" s="13" t="s">
        <v>449</v>
      </c>
    </row>
    <row r="42" spans="2:6" x14ac:dyDescent="0.2">
      <c r="B42" s="4" t="s">
        <v>5</v>
      </c>
      <c r="C42" s="13" t="s">
        <v>450</v>
      </c>
      <c r="D42" s="13" t="s">
        <v>451</v>
      </c>
      <c r="E42" s="13" t="s">
        <v>452</v>
      </c>
      <c r="F42" s="13" t="s">
        <v>451</v>
      </c>
    </row>
    <row r="43" spans="2:6" x14ac:dyDescent="0.2">
      <c r="B43" s="4" t="s">
        <v>6</v>
      </c>
      <c r="C43" s="13" t="s">
        <v>448</v>
      </c>
      <c r="D43" s="13" t="s">
        <v>449</v>
      </c>
      <c r="E43" s="13" t="s">
        <v>448</v>
      </c>
      <c r="F43" s="13" t="s">
        <v>447</v>
      </c>
    </row>
    <row r="44" spans="2:6" x14ac:dyDescent="0.2">
      <c r="B44" s="4" t="s">
        <v>7</v>
      </c>
      <c r="C44" s="13" t="s">
        <v>453</v>
      </c>
      <c r="D44" s="13" t="s">
        <v>454</v>
      </c>
      <c r="E44" s="13" t="s">
        <v>455</v>
      </c>
      <c r="F44" s="13" t="s">
        <v>456</v>
      </c>
    </row>
    <row r="45" spans="2:6" x14ac:dyDescent="0.2">
      <c r="B45" s="4" t="s">
        <v>8</v>
      </c>
      <c r="C45" s="13" t="s">
        <v>449</v>
      </c>
      <c r="D45" s="13" t="s">
        <v>449</v>
      </c>
      <c r="E45" s="13" t="s">
        <v>449</v>
      </c>
      <c r="F45" s="13" t="s">
        <v>447</v>
      </c>
    </row>
    <row r="46" spans="2:6" x14ac:dyDescent="0.2">
      <c r="B46" s="4" t="s">
        <v>9</v>
      </c>
      <c r="C46" s="13" t="s">
        <v>457</v>
      </c>
      <c r="D46" s="13" t="s">
        <v>458</v>
      </c>
      <c r="E46" s="13" t="s">
        <v>459</v>
      </c>
      <c r="F46" s="13" t="s">
        <v>460</v>
      </c>
    </row>
    <row r="47" spans="2:6" x14ac:dyDescent="0.2">
      <c r="B47" s="4" t="s">
        <v>10</v>
      </c>
      <c r="C47" s="13" t="s">
        <v>453</v>
      </c>
      <c r="D47" s="13" t="s">
        <v>452</v>
      </c>
      <c r="E47" s="13" t="s">
        <v>450</v>
      </c>
      <c r="F47" s="13" t="s">
        <v>452</v>
      </c>
    </row>
    <row r="48" spans="2:6" x14ac:dyDescent="0.2">
      <c r="B48" s="4" t="s">
        <v>11</v>
      </c>
      <c r="C48" s="13" t="s">
        <v>446</v>
      </c>
      <c r="D48" s="13" t="s">
        <v>446</v>
      </c>
      <c r="E48" s="13" t="s">
        <v>446</v>
      </c>
      <c r="F48" s="13" t="s">
        <v>461</v>
      </c>
    </row>
    <row r="49" spans="2:6" x14ac:dyDescent="0.2">
      <c r="B49" s="4" t="s">
        <v>12</v>
      </c>
      <c r="C49" s="13" t="s">
        <v>446</v>
      </c>
      <c r="D49" s="13" t="s">
        <v>447</v>
      </c>
      <c r="E49" s="13" t="s">
        <v>448</v>
      </c>
      <c r="F49" s="13" t="s">
        <v>448</v>
      </c>
    </row>
    <row r="50" spans="2:6" x14ac:dyDescent="0.2">
      <c r="B50" s="4" t="s">
        <v>13</v>
      </c>
      <c r="C50" s="13" t="s">
        <v>452</v>
      </c>
      <c r="D50" s="13" t="s">
        <v>446</v>
      </c>
      <c r="E50" s="13" t="s">
        <v>462</v>
      </c>
      <c r="F50" s="13" t="s">
        <v>447</v>
      </c>
    </row>
    <row r="51" spans="2:6" x14ac:dyDescent="0.2">
      <c r="B51" s="4" t="s">
        <v>14</v>
      </c>
      <c r="C51" s="13" t="s">
        <v>462</v>
      </c>
      <c r="D51" s="13" t="s">
        <v>452</v>
      </c>
      <c r="E51" s="13" t="s">
        <v>448</v>
      </c>
      <c r="F51" s="13" t="s">
        <v>461</v>
      </c>
    </row>
    <row r="52" spans="2:6" x14ac:dyDescent="0.2">
      <c r="B52" s="4" t="s">
        <v>15</v>
      </c>
      <c r="C52" s="13" t="s">
        <v>448</v>
      </c>
      <c r="D52" s="13" t="s">
        <v>448</v>
      </c>
      <c r="E52" s="13" t="s">
        <v>461</v>
      </c>
      <c r="F52" s="13" t="s">
        <v>446</v>
      </c>
    </row>
    <row r="53" spans="2:6" x14ac:dyDescent="0.2">
      <c r="B53" s="4" t="s">
        <v>16</v>
      </c>
      <c r="C53" s="13" t="s">
        <v>446</v>
      </c>
      <c r="D53" s="13" t="s">
        <v>446</v>
      </c>
      <c r="E53" s="13" t="s">
        <v>461</v>
      </c>
      <c r="F53" s="13" t="s">
        <v>452</v>
      </c>
    </row>
    <row r="54" spans="2:6" x14ac:dyDescent="0.2">
      <c r="B54" s="4" t="s">
        <v>17</v>
      </c>
      <c r="C54" s="13" t="s">
        <v>449</v>
      </c>
      <c r="D54" s="13" t="s">
        <v>449</v>
      </c>
      <c r="E54" s="13" t="s">
        <v>448</v>
      </c>
      <c r="F54" s="13" t="s">
        <v>449</v>
      </c>
    </row>
    <row r="55" spans="2:6" x14ac:dyDescent="0.2">
      <c r="B55" s="4" t="s">
        <v>18</v>
      </c>
      <c r="C55" s="13" t="s">
        <v>447</v>
      </c>
      <c r="D55" s="13" t="s">
        <v>452</v>
      </c>
      <c r="E55" s="13" t="s">
        <v>448</v>
      </c>
      <c r="F55" s="13" t="s">
        <v>448</v>
      </c>
    </row>
    <row r="56" spans="2:6" x14ac:dyDescent="0.2">
      <c r="B56" s="4" t="s">
        <v>19</v>
      </c>
      <c r="C56" s="13" t="s">
        <v>449</v>
      </c>
      <c r="D56" s="13" t="s">
        <v>449</v>
      </c>
      <c r="E56" s="13" t="s">
        <v>447</v>
      </c>
      <c r="F56" s="13" t="s">
        <v>447</v>
      </c>
    </row>
    <row r="57" spans="2:6" x14ac:dyDescent="0.2">
      <c r="B57" s="4" t="s">
        <v>20</v>
      </c>
      <c r="C57" s="13" t="s">
        <v>448</v>
      </c>
      <c r="D57" s="13" t="s">
        <v>452</v>
      </c>
      <c r="E57" s="13" t="s">
        <v>449</v>
      </c>
      <c r="F57" s="13" t="s">
        <v>447</v>
      </c>
    </row>
    <row r="58" spans="2:6" ht="17" thickBot="1" x14ac:dyDescent="0.25">
      <c r="B58" s="8" t="s">
        <v>21</v>
      </c>
      <c r="C58" s="14" t="s">
        <v>447</v>
      </c>
      <c r="D58" s="14" t="s">
        <v>447</v>
      </c>
      <c r="E58" s="14" t="s">
        <v>452</v>
      </c>
      <c r="F58" s="14" t="s">
        <v>449</v>
      </c>
    </row>
    <row r="61" spans="2:6" x14ac:dyDescent="0.2">
      <c r="B61" s="3" t="s">
        <v>466</v>
      </c>
    </row>
    <row r="62" spans="2:6" ht="17" thickBot="1" x14ac:dyDescent="0.25"/>
    <row r="63" spans="2:6" x14ac:dyDescent="0.2">
      <c r="B63" s="16"/>
      <c r="C63" s="17" t="s">
        <v>463</v>
      </c>
      <c r="D63" s="17" t="s">
        <v>464</v>
      </c>
      <c r="E63" s="17" t="s">
        <v>465</v>
      </c>
      <c r="F63" s="17" t="s">
        <v>139</v>
      </c>
    </row>
    <row r="64" spans="2:6" x14ac:dyDescent="0.2">
      <c r="B64" s="18">
        <v>117.17</v>
      </c>
      <c r="C64" s="23">
        <v>0</v>
      </c>
      <c r="D64" s="20">
        <v>1.4492753623188404E-2</v>
      </c>
      <c r="E64" s="20">
        <v>7.2463768115942021E-3</v>
      </c>
      <c r="F64" s="20">
        <v>7.2463768115942021E-3</v>
      </c>
    </row>
    <row r="65" spans="2:6" x14ac:dyDescent="0.2">
      <c r="B65" s="15">
        <v>120.14</v>
      </c>
      <c r="C65" s="21">
        <v>-1.4492753623188404E-2</v>
      </c>
      <c r="D65" s="24">
        <v>0</v>
      </c>
      <c r="E65" s="21">
        <v>-7.246376811594203E-3</v>
      </c>
      <c r="F65" s="21">
        <v>-7.246376811594203E-3</v>
      </c>
    </row>
    <row r="66" spans="2:6" x14ac:dyDescent="0.2">
      <c r="B66" s="15">
        <v>120.17</v>
      </c>
      <c r="C66" s="21">
        <v>-7.2463768115942021E-3</v>
      </c>
      <c r="D66" s="21">
        <v>7.246376811594203E-3</v>
      </c>
      <c r="E66" s="24">
        <v>0</v>
      </c>
      <c r="F66" s="21">
        <v>0</v>
      </c>
    </row>
    <row r="67" spans="2:6" ht="17" thickBot="1" x14ac:dyDescent="0.25">
      <c r="B67" s="19" t="s">
        <v>139</v>
      </c>
      <c r="C67" s="22">
        <v>-7.2463768115942021E-3</v>
      </c>
      <c r="D67" s="22">
        <v>7.246376811594203E-3</v>
      </c>
      <c r="E67" s="22">
        <v>0</v>
      </c>
      <c r="F67" s="25">
        <v>0</v>
      </c>
    </row>
    <row r="68" spans="2:6" x14ac:dyDescent="0.2">
      <c r="B68" s="3" t="s">
        <v>467</v>
      </c>
    </row>
    <row r="71" spans="2:6" x14ac:dyDescent="0.2">
      <c r="B71" s="3" t="s">
        <v>468</v>
      </c>
    </row>
    <row r="72" spans="2:6" ht="17" thickBot="1" x14ac:dyDescent="0.25"/>
    <row r="73" spans="2:6" x14ac:dyDescent="0.2">
      <c r="B73" s="16"/>
      <c r="C73" s="17" t="s">
        <v>463</v>
      </c>
      <c r="D73" s="17" t="s">
        <v>464</v>
      </c>
      <c r="E73" s="17" t="s">
        <v>465</v>
      </c>
      <c r="F73" s="17" t="s">
        <v>139</v>
      </c>
    </row>
    <row r="74" spans="2:6" x14ac:dyDescent="0.2">
      <c r="B74" s="18">
        <v>117.17</v>
      </c>
      <c r="C74" s="23">
        <v>0</v>
      </c>
      <c r="D74" s="20">
        <v>-7.246376811594203E-3</v>
      </c>
      <c r="E74" s="20">
        <v>0</v>
      </c>
      <c r="F74" s="20">
        <v>0</v>
      </c>
    </row>
    <row r="75" spans="2:6" x14ac:dyDescent="0.2">
      <c r="B75" s="15">
        <v>120.14</v>
      </c>
      <c r="C75" s="21">
        <v>7.246376811594203E-3</v>
      </c>
      <c r="D75" s="24">
        <v>0</v>
      </c>
      <c r="E75" s="21">
        <v>7.246376811594203E-3</v>
      </c>
      <c r="F75" s="21">
        <v>7.246376811594203E-3</v>
      </c>
    </row>
    <row r="76" spans="2:6" x14ac:dyDescent="0.2">
      <c r="B76" s="15">
        <v>120.17</v>
      </c>
      <c r="C76" s="21">
        <v>0</v>
      </c>
      <c r="D76" s="21">
        <v>-7.246376811594203E-3</v>
      </c>
      <c r="E76" s="24">
        <v>0</v>
      </c>
      <c r="F76" s="21">
        <v>0</v>
      </c>
    </row>
    <row r="77" spans="2:6" ht="17" thickBot="1" x14ac:dyDescent="0.25">
      <c r="B77" s="19" t="s">
        <v>139</v>
      </c>
      <c r="C77" s="22">
        <v>0</v>
      </c>
      <c r="D77" s="22">
        <v>-7.246376811594203E-3</v>
      </c>
      <c r="E77" s="22">
        <v>0</v>
      </c>
      <c r="F77" s="25">
        <v>0</v>
      </c>
    </row>
    <row r="78" spans="2:6" x14ac:dyDescent="0.2">
      <c r="B78" s="3" t="s">
        <v>469</v>
      </c>
    </row>
    <row r="81" spans="2:6" x14ac:dyDescent="0.2">
      <c r="B81" s="3" t="s">
        <v>470</v>
      </c>
    </row>
    <row r="82" spans="2:6" ht="17" thickBot="1" x14ac:dyDescent="0.25"/>
    <row r="83" spans="2:6" x14ac:dyDescent="0.2">
      <c r="B83" s="16"/>
      <c r="C83" s="17" t="s">
        <v>463</v>
      </c>
      <c r="D83" s="17" t="s">
        <v>464</v>
      </c>
      <c r="E83" s="17" t="s">
        <v>465</v>
      </c>
      <c r="F83" s="17" t="s">
        <v>139</v>
      </c>
    </row>
    <row r="84" spans="2:6" x14ac:dyDescent="0.2">
      <c r="B84" s="18">
        <v>117.17</v>
      </c>
      <c r="C84" s="23">
        <v>0</v>
      </c>
      <c r="D84" s="20">
        <v>-7.2463768115942004E-3</v>
      </c>
      <c r="E84" s="20">
        <v>2.1739130434782612E-2</v>
      </c>
      <c r="F84" s="20">
        <v>-7.2463768115942004E-3</v>
      </c>
    </row>
    <row r="85" spans="2:6" x14ac:dyDescent="0.2">
      <c r="B85" s="15">
        <v>120.14</v>
      </c>
      <c r="C85" s="21">
        <v>7.2463768115942004E-3</v>
      </c>
      <c r="D85" s="24">
        <v>0</v>
      </c>
      <c r="E85" s="21">
        <v>2.8985507246376812E-2</v>
      </c>
      <c r="F85" s="21">
        <v>0</v>
      </c>
    </row>
    <row r="86" spans="2:6" x14ac:dyDescent="0.2">
      <c r="B86" s="15">
        <v>120.17</v>
      </c>
      <c r="C86" s="21">
        <v>-2.1739130434782612E-2</v>
      </c>
      <c r="D86" s="21">
        <v>-2.8985507246376812E-2</v>
      </c>
      <c r="E86" s="24">
        <v>0</v>
      </c>
      <c r="F86" s="21">
        <v>-2.8985507246376812E-2</v>
      </c>
    </row>
    <row r="87" spans="2:6" ht="17" thickBot="1" x14ac:dyDescent="0.25">
      <c r="B87" s="19" t="s">
        <v>139</v>
      </c>
      <c r="C87" s="22">
        <v>7.2463768115942004E-3</v>
      </c>
      <c r="D87" s="22">
        <v>0</v>
      </c>
      <c r="E87" s="22">
        <v>2.8985507246376812E-2</v>
      </c>
      <c r="F87" s="25">
        <v>0</v>
      </c>
    </row>
    <row r="88" spans="2:6" x14ac:dyDescent="0.2">
      <c r="B88" s="3" t="s">
        <v>471</v>
      </c>
    </row>
    <row r="91" spans="2:6" x14ac:dyDescent="0.2">
      <c r="B91" s="3" t="s">
        <v>472</v>
      </c>
    </row>
    <row r="92" spans="2:6" ht="17" thickBot="1" x14ac:dyDescent="0.25"/>
    <row r="93" spans="2:6" x14ac:dyDescent="0.2">
      <c r="B93" s="16"/>
      <c r="C93" s="17" t="s">
        <v>463</v>
      </c>
      <c r="D93" s="17" t="s">
        <v>464</v>
      </c>
      <c r="E93" s="17" t="s">
        <v>465</v>
      </c>
      <c r="F93" s="17" t="s">
        <v>139</v>
      </c>
    </row>
    <row r="94" spans="2:6" x14ac:dyDescent="0.2">
      <c r="B94" s="18">
        <v>117.17</v>
      </c>
      <c r="C94" s="23">
        <v>0</v>
      </c>
      <c r="D94" s="20">
        <v>1.4492753623188406E-2</v>
      </c>
      <c r="E94" s="20">
        <v>0</v>
      </c>
      <c r="F94" s="20">
        <v>7.246376811594203E-3</v>
      </c>
    </row>
    <row r="95" spans="2:6" x14ac:dyDescent="0.2">
      <c r="B95" s="15">
        <v>120.14</v>
      </c>
      <c r="C95" s="21">
        <v>-1.4492753623188406E-2</v>
      </c>
      <c r="D95" s="24">
        <v>0</v>
      </c>
      <c r="E95" s="21">
        <v>-1.4492753623188406E-2</v>
      </c>
      <c r="F95" s="21">
        <v>-7.246376811594203E-3</v>
      </c>
    </row>
    <row r="96" spans="2:6" x14ac:dyDescent="0.2">
      <c r="B96" s="15">
        <v>120.17</v>
      </c>
      <c r="C96" s="21">
        <v>0</v>
      </c>
      <c r="D96" s="21">
        <v>1.4492753623188406E-2</v>
      </c>
      <c r="E96" s="24">
        <v>0</v>
      </c>
      <c r="F96" s="21">
        <v>7.246376811594203E-3</v>
      </c>
    </row>
    <row r="97" spans="2:6" ht="17" thickBot="1" x14ac:dyDescent="0.25">
      <c r="B97" s="19" t="s">
        <v>139</v>
      </c>
      <c r="C97" s="22">
        <v>-7.246376811594203E-3</v>
      </c>
      <c r="D97" s="22">
        <v>7.246376811594203E-3</v>
      </c>
      <c r="E97" s="22">
        <v>-7.246376811594203E-3</v>
      </c>
      <c r="F97" s="25">
        <v>0</v>
      </c>
    </row>
    <row r="98" spans="2:6" x14ac:dyDescent="0.2">
      <c r="B98" s="3" t="s">
        <v>473</v>
      </c>
    </row>
    <row r="101" spans="2:6" x14ac:dyDescent="0.2">
      <c r="B101" s="3" t="s">
        <v>474</v>
      </c>
    </row>
    <row r="102" spans="2:6" ht="17" thickBot="1" x14ac:dyDescent="0.25"/>
    <row r="103" spans="2:6" x14ac:dyDescent="0.2">
      <c r="B103" s="16"/>
      <c r="C103" s="17" t="s">
        <v>463</v>
      </c>
      <c r="D103" s="17" t="s">
        <v>464</v>
      </c>
      <c r="E103" s="17" t="s">
        <v>465</v>
      </c>
      <c r="F103" s="17" t="s">
        <v>139</v>
      </c>
    </row>
    <row r="104" spans="2:6" x14ac:dyDescent="0.2">
      <c r="B104" s="18">
        <v>117.17</v>
      </c>
      <c r="C104" s="23">
        <v>0</v>
      </c>
      <c r="D104" s="20">
        <v>-6.5217391304347824E-2</v>
      </c>
      <c r="E104" s="20">
        <v>-4.3478260869565216E-2</v>
      </c>
      <c r="F104" s="20">
        <v>-2.1739130434782608E-2</v>
      </c>
    </row>
    <row r="105" spans="2:6" x14ac:dyDescent="0.2">
      <c r="B105" s="15">
        <v>120.14</v>
      </c>
      <c r="C105" s="21">
        <v>6.5217391304347824E-2</v>
      </c>
      <c r="D105" s="24">
        <v>0</v>
      </c>
      <c r="E105" s="21">
        <v>2.1739130434782608E-2</v>
      </c>
      <c r="F105" s="21">
        <v>4.3478260869565216E-2</v>
      </c>
    </row>
    <row r="106" spans="2:6" x14ac:dyDescent="0.2">
      <c r="B106" s="15">
        <v>120.17</v>
      </c>
      <c r="C106" s="21">
        <v>4.3478260869565216E-2</v>
      </c>
      <c r="D106" s="21">
        <v>-2.1739130434782608E-2</v>
      </c>
      <c r="E106" s="24">
        <v>0</v>
      </c>
      <c r="F106" s="21">
        <v>2.1739130434782608E-2</v>
      </c>
    </row>
    <row r="107" spans="2:6" ht="17" thickBot="1" x14ac:dyDescent="0.25">
      <c r="B107" s="19" t="s">
        <v>139</v>
      </c>
      <c r="C107" s="22">
        <v>2.1739130434782608E-2</v>
      </c>
      <c r="D107" s="22">
        <v>-4.3478260869565216E-2</v>
      </c>
      <c r="E107" s="22">
        <v>-2.1739130434782608E-2</v>
      </c>
      <c r="F107" s="25">
        <v>0</v>
      </c>
    </row>
    <row r="108" spans="2:6" x14ac:dyDescent="0.2">
      <c r="B108" s="3" t="s">
        <v>475</v>
      </c>
    </row>
    <row r="111" spans="2:6" x14ac:dyDescent="0.2">
      <c r="B111" s="3" t="s">
        <v>476</v>
      </c>
    </row>
    <row r="112" spans="2:6" ht="17" thickBot="1" x14ac:dyDescent="0.25"/>
    <row r="113" spans="2:6" x14ac:dyDescent="0.2">
      <c r="B113" s="16"/>
      <c r="C113" s="17" t="s">
        <v>463</v>
      </c>
      <c r="D113" s="17" t="s">
        <v>464</v>
      </c>
      <c r="E113" s="17" t="s">
        <v>465</v>
      </c>
      <c r="F113" s="17" t="s">
        <v>139</v>
      </c>
    </row>
    <row r="114" spans="2:6" x14ac:dyDescent="0.2">
      <c r="B114" s="18">
        <v>117.17</v>
      </c>
      <c r="C114" s="23">
        <v>0</v>
      </c>
      <c r="D114" s="20">
        <v>0</v>
      </c>
      <c r="E114" s="20">
        <v>0</v>
      </c>
      <c r="F114" s="20">
        <v>-7.246376811594203E-3</v>
      </c>
    </row>
    <row r="115" spans="2:6" x14ac:dyDescent="0.2">
      <c r="B115" s="15">
        <v>120.14</v>
      </c>
      <c r="C115" s="21">
        <v>0</v>
      </c>
      <c r="D115" s="24">
        <v>0</v>
      </c>
      <c r="E115" s="21">
        <v>0</v>
      </c>
      <c r="F115" s="21">
        <v>-7.246376811594203E-3</v>
      </c>
    </row>
    <row r="116" spans="2:6" x14ac:dyDescent="0.2">
      <c r="B116" s="15">
        <v>120.17</v>
      </c>
      <c r="C116" s="21">
        <v>0</v>
      </c>
      <c r="D116" s="21">
        <v>0</v>
      </c>
      <c r="E116" s="24">
        <v>0</v>
      </c>
      <c r="F116" s="21">
        <v>-7.246376811594203E-3</v>
      </c>
    </row>
    <row r="117" spans="2:6" ht="17" thickBot="1" x14ac:dyDescent="0.25">
      <c r="B117" s="19" t="s">
        <v>139</v>
      </c>
      <c r="C117" s="22">
        <v>7.246376811594203E-3</v>
      </c>
      <c r="D117" s="22">
        <v>7.246376811594203E-3</v>
      </c>
      <c r="E117" s="22">
        <v>7.246376811594203E-3</v>
      </c>
      <c r="F117" s="25">
        <v>0</v>
      </c>
    </row>
    <row r="118" spans="2:6" x14ac:dyDescent="0.2">
      <c r="B118" s="3" t="s">
        <v>469</v>
      </c>
    </row>
    <row r="121" spans="2:6" x14ac:dyDescent="0.2">
      <c r="B121" s="3" t="s">
        <v>477</v>
      </c>
    </row>
    <row r="122" spans="2:6" ht="17" thickBot="1" x14ac:dyDescent="0.25"/>
    <row r="123" spans="2:6" x14ac:dyDescent="0.2">
      <c r="B123" s="16"/>
      <c r="C123" s="17" t="s">
        <v>463</v>
      </c>
      <c r="D123" s="17" t="s">
        <v>464</v>
      </c>
      <c r="E123" s="17" t="s">
        <v>465</v>
      </c>
      <c r="F123" s="17" t="s">
        <v>139</v>
      </c>
    </row>
    <row r="124" spans="2:6" x14ac:dyDescent="0.2">
      <c r="B124" s="18">
        <v>117.17</v>
      </c>
      <c r="C124" s="23">
        <v>0</v>
      </c>
      <c r="D124" s="20">
        <v>-4.3478260869565244E-2</v>
      </c>
      <c r="E124" s="20">
        <v>-5.7971014492753659E-2</v>
      </c>
      <c r="F124" s="20">
        <v>-7.2463768115942018E-2</v>
      </c>
    </row>
    <row r="125" spans="2:6" x14ac:dyDescent="0.2">
      <c r="B125" s="15">
        <v>120.14</v>
      </c>
      <c r="C125" s="21">
        <v>4.3478260869565244E-2</v>
      </c>
      <c r="D125" s="24">
        <v>0</v>
      </c>
      <c r="E125" s="21">
        <v>-1.4492753623188415E-2</v>
      </c>
      <c r="F125" s="21">
        <v>-2.8985507246376774E-2</v>
      </c>
    </row>
    <row r="126" spans="2:6" x14ac:dyDescent="0.2">
      <c r="B126" s="15">
        <v>120.17</v>
      </c>
      <c r="C126" s="21">
        <v>5.7971014492753659E-2</v>
      </c>
      <c r="D126" s="21">
        <v>1.4492753623188415E-2</v>
      </c>
      <c r="E126" s="24">
        <v>0</v>
      </c>
      <c r="F126" s="21">
        <v>-1.4492753623188359E-2</v>
      </c>
    </row>
    <row r="127" spans="2:6" ht="17" thickBot="1" x14ac:dyDescent="0.25">
      <c r="B127" s="19" t="s">
        <v>139</v>
      </c>
      <c r="C127" s="22">
        <v>7.2463768115942018E-2</v>
      </c>
      <c r="D127" s="22">
        <v>2.8985507246376774E-2</v>
      </c>
      <c r="E127" s="22">
        <v>1.4492753623188359E-2</v>
      </c>
      <c r="F127" s="25">
        <v>0</v>
      </c>
    </row>
    <row r="128" spans="2:6" x14ac:dyDescent="0.2">
      <c r="B128" s="3" t="s">
        <v>478</v>
      </c>
    </row>
    <row r="131" spans="2:6" x14ac:dyDescent="0.2">
      <c r="B131" s="3" t="s">
        <v>479</v>
      </c>
    </row>
    <row r="132" spans="2:6" ht="17" thickBot="1" x14ac:dyDescent="0.25"/>
    <row r="133" spans="2:6" x14ac:dyDescent="0.2">
      <c r="B133" s="16"/>
      <c r="C133" s="17" t="s">
        <v>463</v>
      </c>
      <c r="D133" s="17" t="s">
        <v>464</v>
      </c>
      <c r="E133" s="17" t="s">
        <v>465</v>
      </c>
      <c r="F133" s="17" t="s">
        <v>139</v>
      </c>
    </row>
    <row r="134" spans="2:6" x14ac:dyDescent="0.2">
      <c r="B134" s="18">
        <v>117.17</v>
      </c>
      <c r="C134" s="23">
        <v>0</v>
      </c>
      <c r="D134" s="20">
        <v>3.6231884057971009E-2</v>
      </c>
      <c r="E134" s="20">
        <v>1.4492753623188401E-2</v>
      </c>
      <c r="F134" s="20">
        <v>3.6231884057971009E-2</v>
      </c>
    </row>
    <row r="135" spans="2:6" x14ac:dyDescent="0.2">
      <c r="B135" s="15">
        <v>120.14</v>
      </c>
      <c r="C135" s="21">
        <v>-3.6231884057971009E-2</v>
      </c>
      <c r="D135" s="24">
        <v>0</v>
      </c>
      <c r="E135" s="21">
        <v>-2.1739130434782612E-2</v>
      </c>
      <c r="F135" s="21">
        <v>0</v>
      </c>
    </row>
    <row r="136" spans="2:6" x14ac:dyDescent="0.2">
      <c r="B136" s="15">
        <v>120.17</v>
      </c>
      <c r="C136" s="21">
        <v>-1.4492753623188401E-2</v>
      </c>
      <c r="D136" s="21">
        <v>2.1739130434782612E-2</v>
      </c>
      <c r="E136" s="24">
        <v>0</v>
      </c>
      <c r="F136" s="21">
        <v>2.1739130434782612E-2</v>
      </c>
    </row>
    <row r="137" spans="2:6" ht="17" thickBot="1" x14ac:dyDescent="0.25">
      <c r="B137" s="19" t="s">
        <v>139</v>
      </c>
      <c r="C137" s="22">
        <v>-3.6231884057971009E-2</v>
      </c>
      <c r="D137" s="22">
        <v>0</v>
      </c>
      <c r="E137" s="22">
        <v>-2.1739130434782612E-2</v>
      </c>
      <c r="F137" s="25">
        <v>0</v>
      </c>
    </row>
    <row r="138" spans="2:6" x14ac:dyDescent="0.2">
      <c r="B138" s="3" t="s">
        <v>480</v>
      </c>
    </row>
    <row r="141" spans="2:6" x14ac:dyDescent="0.2">
      <c r="B141" s="3" t="s">
        <v>481</v>
      </c>
    </row>
    <row r="142" spans="2:6" ht="17" thickBot="1" x14ac:dyDescent="0.25"/>
    <row r="143" spans="2:6" x14ac:dyDescent="0.2">
      <c r="B143" s="16"/>
      <c r="C143" s="17" t="s">
        <v>463</v>
      </c>
      <c r="D143" s="17" t="s">
        <v>464</v>
      </c>
      <c r="E143" s="17" t="s">
        <v>465</v>
      </c>
      <c r="F143" s="17" t="s">
        <v>139</v>
      </c>
    </row>
    <row r="144" spans="2:6" x14ac:dyDescent="0.2">
      <c r="B144" s="18">
        <v>117.17</v>
      </c>
      <c r="C144" s="23">
        <v>0</v>
      </c>
      <c r="D144" s="20">
        <v>0</v>
      </c>
      <c r="E144" s="20">
        <v>0</v>
      </c>
      <c r="F144" s="20">
        <v>-1.4492753623188408E-2</v>
      </c>
    </row>
    <row r="145" spans="2:6" x14ac:dyDescent="0.2">
      <c r="B145" s="15">
        <v>120.14</v>
      </c>
      <c r="C145" s="21">
        <v>0</v>
      </c>
      <c r="D145" s="24">
        <v>0</v>
      </c>
      <c r="E145" s="21">
        <v>0</v>
      </c>
      <c r="F145" s="21">
        <v>-1.4492753623188408E-2</v>
      </c>
    </row>
    <row r="146" spans="2:6" x14ac:dyDescent="0.2">
      <c r="B146" s="15">
        <v>120.17</v>
      </c>
      <c r="C146" s="21">
        <v>0</v>
      </c>
      <c r="D146" s="21">
        <v>0</v>
      </c>
      <c r="E146" s="24">
        <v>0</v>
      </c>
      <c r="F146" s="21">
        <v>-1.4492753623188408E-2</v>
      </c>
    </row>
    <row r="147" spans="2:6" ht="17" thickBot="1" x14ac:dyDescent="0.25">
      <c r="B147" s="19" t="s">
        <v>139</v>
      </c>
      <c r="C147" s="22">
        <v>1.4492753623188408E-2</v>
      </c>
      <c r="D147" s="22">
        <v>1.4492753623188408E-2</v>
      </c>
      <c r="E147" s="22">
        <v>1.4492753623188408E-2</v>
      </c>
      <c r="F147" s="25">
        <v>0</v>
      </c>
    </row>
    <row r="148" spans="2:6" x14ac:dyDescent="0.2">
      <c r="B148" s="3" t="s">
        <v>482</v>
      </c>
    </row>
    <row r="151" spans="2:6" x14ac:dyDescent="0.2">
      <c r="B151" s="3" t="s">
        <v>483</v>
      </c>
    </row>
    <row r="152" spans="2:6" ht="17" thickBot="1" x14ac:dyDescent="0.25"/>
    <row r="153" spans="2:6" x14ac:dyDescent="0.2">
      <c r="B153" s="16"/>
      <c r="C153" s="17" t="s">
        <v>463</v>
      </c>
      <c r="D153" s="17" t="s">
        <v>464</v>
      </c>
      <c r="E153" s="17" t="s">
        <v>465</v>
      </c>
      <c r="F153" s="17" t="s">
        <v>139</v>
      </c>
    </row>
    <row r="154" spans="2:6" x14ac:dyDescent="0.2">
      <c r="B154" s="18">
        <v>117.17</v>
      </c>
      <c r="C154" s="23">
        <v>0</v>
      </c>
      <c r="D154" s="20">
        <v>1.4492753623188404E-2</v>
      </c>
      <c r="E154" s="20">
        <v>7.2463768115942021E-3</v>
      </c>
      <c r="F154" s="20">
        <v>7.2463768115942021E-3</v>
      </c>
    </row>
    <row r="155" spans="2:6" x14ac:dyDescent="0.2">
      <c r="B155" s="15">
        <v>120.14</v>
      </c>
      <c r="C155" s="21">
        <v>-1.4492753623188404E-2</v>
      </c>
      <c r="D155" s="24">
        <v>0</v>
      </c>
      <c r="E155" s="21">
        <v>-7.246376811594203E-3</v>
      </c>
      <c r="F155" s="21">
        <v>-7.246376811594203E-3</v>
      </c>
    </row>
    <row r="156" spans="2:6" x14ac:dyDescent="0.2">
      <c r="B156" s="15">
        <v>120.17</v>
      </c>
      <c r="C156" s="21">
        <v>-7.2463768115942021E-3</v>
      </c>
      <c r="D156" s="21">
        <v>7.246376811594203E-3</v>
      </c>
      <c r="E156" s="24">
        <v>0</v>
      </c>
      <c r="F156" s="21">
        <v>0</v>
      </c>
    </row>
    <row r="157" spans="2:6" ht="17" thickBot="1" x14ac:dyDescent="0.25">
      <c r="B157" s="19" t="s">
        <v>139</v>
      </c>
      <c r="C157" s="22">
        <v>-7.2463768115942021E-3</v>
      </c>
      <c r="D157" s="22">
        <v>7.246376811594203E-3</v>
      </c>
      <c r="E157" s="22">
        <v>0</v>
      </c>
      <c r="F157" s="25">
        <v>0</v>
      </c>
    </row>
    <row r="158" spans="2:6" x14ac:dyDescent="0.2">
      <c r="B158" s="3" t="s">
        <v>467</v>
      </c>
    </row>
    <row r="161" spans="2:6" x14ac:dyDescent="0.2">
      <c r="B161" s="3" t="s">
        <v>484</v>
      </c>
    </row>
    <row r="162" spans="2:6" ht="17" thickBot="1" x14ac:dyDescent="0.25"/>
    <row r="163" spans="2:6" x14ac:dyDescent="0.2">
      <c r="B163" s="16"/>
      <c r="C163" s="17" t="s">
        <v>463</v>
      </c>
      <c r="D163" s="17" t="s">
        <v>464</v>
      </c>
      <c r="E163" s="17" t="s">
        <v>465</v>
      </c>
      <c r="F163" s="17" t="s">
        <v>139</v>
      </c>
    </row>
    <row r="164" spans="2:6" x14ac:dyDescent="0.2">
      <c r="B164" s="18">
        <v>117.17</v>
      </c>
      <c r="C164" s="23">
        <v>0</v>
      </c>
      <c r="D164" s="20">
        <v>7.2463768115942039E-3</v>
      </c>
      <c r="E164" s="20">
        <v>-1.4492753623188404E-2</v>
      </c>
      <c r="F164" s="20">
        <v>2.1739130434782608E-2</v>
      </c>
    </row>
    <row r="165" spans="2:6" x14ac:dyDescent="0.2">
      <c r="B165" s="15">
        <v>120.14</v>
      </c>
      <c r="C165" s="21">
        <v>-7.2463768115942039E-3</v>
      </c>
      <c r="D165" s="24">
        <v>0</v>
      </c>
      <c r="E165" s="21">
        <v>-2.1739130434782608E-2</v>
      </c>
      <c r="F165" s="21">
        <v>1.4492753623188404E-2</v>
      </c>
    </row>
    <row r="166" spans="2:6" x14ac:dyDescent="0.2">
      <c r="B166" s="15">
        <v>120.17</v>
      </c>
      <c r="C166" s="21">
        <v>1.4492753623188404E-2</v>
      </c>
      <c r="D166" s="21">
        <v>2.1739130434782608E-2</v>
      </c>
      <c r="E166" s="24">
        <v>0</v>
      </c>
      <c r="F166" s="21">
        <v>3.6231884057971016E-2</v>
      </c>
    </row>
    <row r="167" spans="2:6" ht="17" thickBot="1" x14ac:dyDescent="0.25">
      <c r="B167" s="19" t="s">
        <v>139</v>
      </c>
      <c r="C167" s="22">
        <v>-2.1739130434782608E-2</v>
      </c>
      <c r="D167" s="22">
        <v>-1.4492753623188404E-2</v>
      </c>
      <c r="E167" s="22">
        <v>-3.6231884057971016E-2</v>
      </c>
      <c r="F167" s="25">
        <v>0</v>
      </c>
    </row>
    <row r="168" spans="2:6" x14ac:dyDescent="0.2">
      <c r="B168" s="3" t="s">
        <v>485</v>
      </c>
    </row>
    <row r="171" spans="2:6" x14ac:dyDescent="0.2">
      <c r="B171" s="3" t="s">
        <v>486</v>
      </c>
    </row>
    <row r="172" spans="2:6" ht="17" thickBot="1" x14ac:dyDescent="0.25"/>
    <row r="173" spans="2:6" x14ac:dyDescent="0.2">
      <c r="B173" s="16"/>
      <c r="C173" s="17" t="s">
        <v>463</v>
      </c>
      <c r="D173" s="17" t="s">
        <v>464</v>
      </c>
      <c r="E173" s="17" t="s">
        <v>465</v>
      </c>
      <c r="F173" s="17" t="s">
        <v>139</v>
      </c>
    </row>
    <row r="174" spans="2:6" x14ac:dyDescent="0.2">
      <c r="B174" s="18">
        <v>117.17</v>
      </c>
      <c r="C174" s="23">
        <v>0</v>
      </c>
      <c r="D174" s="20">
        <v>1.4492753623188404E-2</v>
      </c>
      <c r="E174" s="20">
        <v>2.8985507246376808E-2</v>
      </c>
      <c r="F174" s="20">
        <v>7.2463768115942004E-3</v>
      </c>
    </row>
    <row r="175" spans="2:6" x14ac:dyDescent="0.2">
      <c r="B175" s="15">
        <v>120.14</v>
      </c>
      <c r="C175" s="21">
        <v>-1.4492753623188404E-2</v>
      </c>
      <c r="D175" s="24">
        <v>0</v>
      </c>
      <c r="E175" s="21">
        <v>1.4492753623188406E-2</v>
      </c>
      <c r="F175" s="21">
        <v>-7.2463768115942039E-3</v>
      </c>
    </row>
    <row r="176" spans="2:6" x14ac:dyDescent="0.2">
      <c r="B176" s="15">
        <v>120.17</v>
      </c>
      <c r="C176" s="21">
        <v>-2.8985507246376808E-2</v>
      </c>
      <c r="D176" s="21">
        <v>-1.4492753623188406E-2</v>
      </c>
      <c r="E176" s="24">
        <v>0</v>
      </c>
      <c r="F176" s="21">
        <v>-2.1739130434782608E-2</v>
      </c>
    </row>
    <row r="177" spans="2:6" ht="17" thickBot="1" x14ac:dyDescent="0.25">
      <c r="B177" s="19" t="s">
        <v>139</v>
      </c>
      <c r="C177" s="22">
        <v>-7.2463768115942004E-3</v>
      </c>
      <c r="D177" s="22">
        <v>7.2463768115942039E-3</v>
      </c>
      <c r="E177" s="22">
        <v>2.1739130434782608E-2</v>
      </c>
      <c r="F177" s="25">
        <v>0</v>
      </c>
    </row>
    <row r="178" spans="2:6" x14ac:dyDescent="0.2">
      <c r="B178" s="3" t="s">
        <v>487</v>
      </c>
    </row>
    <row r="181" spans="2:6" x14ac:dyDescent="0.2">
      <c r="B181" s="3" t="s">
        <v>488</v>
      </c>
    </row>
    <row r="182" spans="2:6" ht="17" thickBot="1" x14ac:dyDescent="0.25"/>
    <row r="183" spans="2:6" x14ac:dyDescent="0.2">
      <c r="B183" s="16"/>
      <c r="C183" s="17" t="s">
        <v>463</v>
      </c>
      <c r="D183" s="17" t="s">
        <v>464</v>
      </c>
      <c r="E183" s="17" t="s">
        <v>465</v>
      </c>
      <c r="F183" s="17" t="s">
        <v>139</v>
      </c>
    </row>
    <row r="184" spans="2:6" x14ac:dyDescent="0.2">
      <c r="B184" s="18">
        <v>117.17</v>
      </c>
      <c r="C184" s="23">
        <v>0</v>
      </c>
      <c r="D184" s="20">
        <v>0</v>
      </c>
      <c r="E184" s="20">
        <v>-2.1739130434782608E-2</v>
      </c>
      <c r="F184" s="20">
        <v>-7.2463768115942021E-3</v>
      </c>
    </row>
    <row r="185" spans="2:6" x14ac:dyDescent="0.2">
      <c r="B185" s="15">
        <v>120.14</v>
      </c>
      <c r="C185" s="21">
        <v>0</v>
      </c>
      <c r="D185" s="24">
        <v>0</v>
      </c>
      <c r="E185" s="21">
        <v>-2.1739130434782608E-2</v>
      </c>
      <c r="F185" s="21">
        <v>-7.2463768115942021E-3</v>
      </c>
    </row>
    <row r="186" spans="2:6" x14ac:dyDescent="0.2">
      <c r="B186" s="15">
        <v>120.17</v>
      </c>
      <c r="C186" s="21">
        <v>2.1739130434782608E-2</v>
      </c>
      <c r="D186" s="21">
        <v>2.1739130434782608E-2</v>
      </c>
      <c r="E186" s="24">
        <v>0</v>
      </c>
      <c r="F186" s="21">
        <v>1.4492753623188408E-2</v>
      </c>
    </row>
    <row r="187" spans="2:6" ht="17" thickBot="1" x14ac:dyDescent="0.25">
      <c r="B187" s="19" t="s">
        <v>139</v>
      </c>
      <c r="C187" s="22">
        <v>7.2463768115942021E-3</v>
      </c>
      <c r="D187" s="22">
        <v>7.2463768115942021E-3</v>
      </c>
      <c r="E187" s="22">
        <v>-1.4492753623188408E-2</v>
      </c>
      <c r="F187" s="25">
        <v>0</v>
      </c>
    </row>
    <row r="188" spans="2:6" x14ac:dyDescent="0.2">
      <c r="B188" s="3" t="s">
        <v>489</v>
      </c>
    </row>
    <row r="191" spans="2:6" x14ac:dyDescent="0.2">
      <c r="B191" s="3" t="s">
        <v>490</v>
      </c>
    </row>
    <row r="192" spans="2:6" ht="17" thickBot="1" x14ac:dyDescent="0.25"/>
    <row r="193" spans="2:6" x14ac:dyDescent="0.2">
      <c r="B193" s="16"/>
      <c r="C193" s="17" t="s">
        <v>463</v>
      </c>
      <c r="D193" s="17" t="s">
        <v>464</v>
      </c>
      <c r="E193" s="17" t="s">
        <v>465</v>
      </c>
      <c r="F193" s="17" t="s">
        <v>139</v>
      </c>
    </row>
    <row r="194" spans="2:6" x14ac:dyDescent="0.2">
      <c r="B194" s="18">
        <v>117.17</v>
      </c>
      <c r="C194" s="23">
        <v>0</v>
      </c>
      <c r="D194" s="20">
        <v>0</v>
      </c>
      <c r="E194" s="20">
        <v>-1.4492753623188408E-2</v>
      </c>
      <c r="F194" s="20">
        <v>-7.2463768115942039E-3</v>
      </c>
    </row>
    <row r="195" spans="2:6" x14ac:dyDescent="0.2">
      <c r="B195" s="15">
        <v>120.14</v>
      </c>
      <c r="C195" s="21">
        <v>0</v>
      </c>
      <c r="D195" s="24">
        <v>0</v>
      </c>
      <c r="E195" s="21">
        <v>-1.4492753623188408E-2</v>
      </c>
      <c r="F195" s="21">
        <v>-7.2463768115942039E-3</v>
      </c>
    </row>
    <row r="196" spans="2:6" x14ac:dyDescent="0.2">
      <c r="B196" s="15">
        <v>120.17</v>
      </c>
      <c r="C196" s="21">
        <v>1.4492753623188408E-2</v>
      </c>
      <c r="D196" s="21">
        <v>1.4492753623188408E-2</v>
      </c>
      <c r="E196" s="24">
        <v>0</v>
      </c>
      <c r="F196" s="21">
        <v>7.2463768115942039E-3</v>
      </c>
    </row>
    <row r="197" spans="2:6" ht="17" thickBot="1" x14ac:dyDescent="0.25">
      <c r="B197" s="19" t="s">
        <v>139</v>
      </c>
      <c r="C197" s="22">
        <v>7.2463768115942039E-3</v>
      </c>
      <c r="D197" s="22">
        <v>7.2463768115942039E-3</v>
      </c>
      <c r="E197" s="22">
        <v>-7.2463768115942039E-3</v>
      </c>
      <c r="F197" s="25">
        <v>0</v>
      </c>
    </row>
    <row r="198" spans="2:6" x14ac:dyDescent="0.2">
      <c r="B198" s="3" t="s">
        <v>491</v>
      </c>
    </row>
    <row r="201" spans="2:6" x14ac:dyDescent="0.2">
      <c r="B201" s="3" t="s">
        <v>492</v>
      </c>
    </row>
    <row r="202" spans="2:6" ht="17" thickBot="1" x14ac:dyDescent="0.25"/>
    <row r="203" spans="2:6" x14ac:dyDescent="0.2">
      <c r="B203" s="16"/>
      <c r="C203" s="17" t="s">
        <v>463</v>
      </c>
      <c r="D203" s="17" t="s">
        <v>464</v>
      </c>
      <c r="E203" s="17" t="s">
        <v>465</v>
      </c>
      <c r="F203" s="17" t="s">
        <v>139</v>
      </c>
    </row>
    <row r="204" spans="2:6" x14ac:dyDescent="0.2">
      <c r="B204" s="18">
        <v>117.17</v>
      </c>
      <c r="C204" s="23">
        <v>0</v>
      </c>
      <c r="D204" s="20">
        <v>0</v>
      </c>
      <c r="E204" s="20">
        <v>-1.4492753623188406E-2</v>
      </c>
      <c r="F204" s="20">
        <v>0</v>
      </c>
    </row>
    <row r="205" spans="2:6" x14ac:dyDescent="0.2">
      <c r="B205" s="15">
        <v>120.14</v>
      </c>
      <c r="C205" s="21">
        <v>0</v>
      </c>
      <c r="D205" s="24">
        <v>0</v>
      </c>
      <c r="E205" s="21">
        <v>-1.4492753623188406E-2</v>
      </c>
      <c r="F205" s="21">
        <v>0</v>
      </c>
    </row>
    <row r="206" spans="2:6" x14ac:dyDescent="0.2">
      <c r="B206" s="15">
        <v>120.17</v>
      </c>
      <c r="C206" s="21">
        <v>1.4492753623188406E-2</v>
      </c>
      <c r="D206" s="21">
        <v>1.4492753623188406E-2</v>
      </c>
      <c r="E206" s="24">
        <v>0</v>
      </c>
      <c r="F206" s="21">
        <v>1.4492753623188406E-2</v>
      </c>
    </row>
    <row r="207" spans="2:6" ht="17" thickBot="1" x14ac:dyDescent="0.25">
      <c r="B207" s="19" t="s">
        <v>139</v>
      </c>
      <c r="C207" s="22">
        <v>0</v>
      </c>
      <c r="D207" s="22">
        <v>0</v>
      </c>
      <c r="E207" s="22">
        <v>-1.4492753623188406E-2</v>
      </c>
      <c r="F207" s="25">
        <v>0</v>
      </c>
    </row>
    <row r="208" spans="2:6" x14ac:dyDescent="0.2">
      <c r="B208" s="3" t="s">
        <v>493</v>
      </c>
    </row>
    <row r="211" spans="2:6" x14ac:dyDescent="0.2">
      <c r="B211" s="3" t="s">
        <v>494</v>
      </c>
    </row>
    <row r="212" spans="2:6" ht="17" thickBot="1" x14ac:dyDescent="0.25"/>
    <row r="213" spans="2:6" x14ac:dyDescent="0.2">
      <c r="B213" s="16"/>
      <c r="C213" s="17" t="s">
        <v>463</v>
      </c>
      <c r="D213" s="17" t="s">
        <v>464</v>
      </c>
      <c r="E213" s="17" t="s">
        <v>465</v>
      </c>
      <c r="F213" s="17" t="s">
        <v>139</v>
      </c>
    </row>
    <row r="214" spans="2:6" x14ac:dyDescent="0.2">
      <c r="B214" s="18">
        <v>117.17</v>
      </c>
      <c r="C214" s="23">
        <v>0</v>
      </c>
      <c r="D214" s="20">
        <v>-2.1739130434782608E-2</v>
      </c>
      <c r="E214" s="20">
        <v>-7.246376811594203E-3</v>
      </c>
      <c r="F214" s="20">
        <v>-7.246376811594203E-3</v>
      </c>
    </row>
    <row r="215" spans="2:6" x14ac:dyDescent="0.2">
      <c r="B215" s="15">
        <v>120.14</v>
      </c>
      <c r="C215" s="21">
        <v>2.1739130434782608E-2</v>
      </c>
      <c r="D215" s="24">
        <v>0</v>
      </c>
      <c r="E215" s="21">
        <v>1.4492753623188406E-2</v>
      </c>
      <c r="F215" s="21">
        <v>1.4492753623188406E-2</v>
      </c>
    </row>
    <row r="216" spans="2:6" x14ac:dyDescent="0.2">
      <c r="B216" s="15">
        <v>120.17</v>
      </c>
      <c r="C216" s="21">
        <v>7.246376811594203E-3</v>
      </c>
      <c r="D216" s="21">
        <v>-1.4492753623188406E-2</v>
      </c>
      <c r="E216" s="24">
        <v>0</v>
      </c>
      <c r="F216" s="21">
        <v>0</v>
      </c>
    </row>
    <row r="217" spans="2:6" ht="17" thickBot="1" x14ac:dyDescent="0.25">
      <c r="B217" s="19" t="s">
        <v>139</v>
      </c>
      <c r="C217" s="22">
        <v>7.246376811594203E-3</v>
      </c>
      <c r="D217" s="22">
        <v>-1.4492753623188406E-2</v>
      </c>
      <c r="E217" s="22">
        <v>0</v>
      </c>
      <c r="F217" s="25">
        <v>0</v>
      </c>
    </row>
    <row r="218" spans="2:6" x14ac:dyDescent="0.2">
      <c r="B218" s="3" t="s">
        <v>495</v>
      </c>
    </row>
    <row r="221" spans="2:6" x14ac:dyDescent="0.2">
      <c r="B221" s="3" t="s">
        <v>496</v>
      </c>
    </row>
    <row r="222" spans="2:6" ht="17" thickBot="1" x14ac:dyDescent="0.25"/>
    <row r="223" spans="2:6" x14ac:dyDescent="0.2">
      <c r="B223" s="16"/>
      <c r="C223" s="17" t="s">
        <v>463</v>
      </c>
      <c r="D223" s="17" t="s">
        <v>464</v>
      </c>
      <c r="E223" s="17" t="s">
        <v>465</v>
      </c>
      <c r="F223" s="17" t="s">
        <v>139</v>
      </c>
    </row>
    <row r="224" spans="2:6" x14ac:dyDescent="0.2">
      <c r="B224" s="18">
        <v>117.17</v>
      </c>
      <c r="C224" s="23">
        <v>0</v>
      </c>
      <c r="D224" s="20">
        <v>0</v>
      </c>
      <c r="E224" s="20">
        <v>-7.246376811594203E-3</v>
      </c>
      <c r="F224" s="20">
        <v>-7.246376811594203E-3</v>
      </c>
    </row>
    <row r="225" spans="2:6" x14ac:dyDescent="0.2">
      <c r="B225" s="15">
        <v>120.14</v>
      </c>
      <c r="C225" s="21">
        <v>0</v>
      </c>
      <c r="D225" s="24">
        <v>0</v>
      </c>
      <c r="E225" s="21">
        <v>-7.246376811594203E-3</v>
      </c>
      <c r="F225" s="21">
        <v>-7.246376811594203E-3</v>
      </c>
    </row>
    <row r="226" spans="2:6" x14ac:dyDescent="0.2">
      <c r="B226" s="15">
        <v>120.17</v>
      </c>
      <c r="C226" s="21">
        <v>7.246376811594203E-3</v>
      </c>
      <c r="D226" s="21">
        <v>7.246376811594203E-3</v>
      </c>
      <c r="E226" s="24">
        <v>0</v>
      </c>
      <c r="F226" s="21">
        <v>0</v>
      </c>
    </row>
    <row r="227" spans="2:6" ht="17" thickBot="1" x14ac:dyDescent="0.25">
      <c r="B227" s="19" t="s">
        <v>139</v>
      </c>
      <c r="C227" s="22">
        <v>7.246376811594203E-3</v>
      </c>
      <c r="D227" s="22">
        <v>7.246376811594203E-3</v>
      </c>
      <c r="E227" s="22">
        <v>0</v>
      </c>
      <c r="F227" s="25">
        <v>0</v>
      </c>
    </row>
    <row r="228" spans="2:6" x14ac:dyDescent="0.2">
      <c r="B228" s="3" t="s">
        <v>493</v>
      </c>
    </row>
    <row r="231" spans="2:6" x14ac:dyDescent="0.2">
      <c r="B231" s="3" t="s">
        <v>497</v>
      </c>
    </row>
    <row r="232" spans="2:6" ht="17" thickBot="1" x14ac:dyDescent="0.25"/>
    <row r="233" spans="2:6" x14ac:dyDescent="0.2">
      <c r="B233" s="16"/>
      <c r="C233" s="17" t="s">
        <v>463</v>
      </c>
      <c r="D233" s="17" t="s">
        <v>464</v>
      </c>
      <c r="E233" s="17" t="s">
        <v>465</v>
      </c>
      <c r="F233" s="17" t="s">
        <v>139</v>
      </c>
    </row>
    <row r="234" spans="2:6" x14ac:dyDescent="0.2">
      <c r="B234" s="18">
        <v>117.17</v>
      </c>
      <c r="C234" s="23">
        <v>0</v>
      </c>
      <c r="D234" s="20">
        <v>-1.4492753623188406E-2</v>
      </c>
      <c r="E234" s="20">
        <v>1.4492753623188406E-2</v>
      </c>
      <c r="F234" s="20">
        <v>7.246376811594203E-3</v>
      </c>
    </row>
    <row r="235" spans="2:6" x14ac:dyDescent="0.2">
      <c r="B235" s="15">
        <v>120.14</v>
      </c>
      <c r="C235" s="21">
        <v>1.4492753623188406E-2</v>
      </c>
      <c r="D235" s="24">
        <v>0</v>
      </c>
      <c r="E235" s="21">
        <v>2.8985507246376812E-2</v>
      </c>
      <c r="F235" s="21">
        <v>2.1739130434782608E-2</v>
      </c>
    </row>
    <row r="236" spans="2:6" x14ac:dyDescent="0.2">
      <c r="B236" s="15">
        <v>120.17</v>
      </c>
      <c r="C236" s="21">
        <v>-1.4492753623188406E-2</v>
      </c>
      <c r="D236" s="21">
        <v>-2.8985507246376812E-2</v>
      </c>
      <c r="E236" s="24">
        <v>0</v>
      </c>
      <c r="F236" s="21">
        <v>-7.246376811594203E-3</v>
      </c>
    </row>
    <row r="237" spans="2:6" ht="17" thickBot="1" x14ac:dyDescent="0.25">
      <c r="B237" s="19" t="s">
        <v>139</v>
      </c>
      <c r="C237" s="22">
        <v>-7.246376811594203E-3</v>
      </c>
      <c r="D237" s="22">
        <v>-2.1739130434782608E-2</v>
      </c>
      <c r="E237" s="22">
        <v>7.246376811594203E-3</v>
      </c>
      <c r="F237" s="25">
        <v>0</v>
      </c>
    </row>
    <row r="238" spans="2:6" x14ac:dyDescent="0.2">
      <c r="B238" s="3" t="s">
        <v>498</v>
      </c>
    </row>
    <row r="241" spans="2:21" x14ac:dyDescent="0.2">
      <c r="B241" s="3" t="s">
        <v>499</v>
      </c>
    </row>
    <row r="242" spans="2:21" ht="17" thickBot="1" x14ac:dyDescent="0.25"/>
    <row r="243" spans="2:21" x14ac:dyDescent="0.2">
      <c r="B243" s="16"/>
      <c r="C243" s="17" t="s">
        <v>463</v>
      </c>
      <c r="D243" s="17" t="s">
        <v>464</v>
      </c>
      <c r="E243" s="17" t="s">
        <v>465</v>
      </c>
      <c r="F243" s="17" t="s">
        <v>139</v>
      </c>
    </row>
    <row r="244" spans="2:21" x14ac:dyDescent="0.2">
      <c r="B244" s="18">
        <v>117.17</v>
      </c>
      <c r="C244" s="23">
        <v>0</v>
      </c>
      <c r="D244" s="20">
        <v>0</v>
      </c>
      <c r="E244" s="20">
        <v>-2.1739130434782608E-2</v>
      </c>
      <c r="F244" s="20">
        <v>7.246376811594203E-3</v>
      </c>
    </row>
    <row r="245" spans="2:21" x14ac:dyDescent="0.2">
      <c r="B245" s="15">
        <v>120.14</v>
      </c>
      <c r="C245" s="21">
        <v>0</v>
      </c>
      <c r="D245" s="24">
        <v>0</v>
      </c>
      <c r="E245" s="21">
        <v>-2.1739130434782608E-2</v>
      </c>
      <c r="F245" s="21">
        <v>7.246376811594203E-3</v>
      </c>
    </row>
    <row r="246" spans="2:21" x14ac:dyDescent="0.2">
      <c r="B246" s="15">
        <v>120.17</v>
      </c>
      <c r="C246" s="21">
        <v>2.1739130434782608E-2</v>
      </c>
      <c r="D246" s="21">
        <v>2.1739130434782608E-2</v>
      </c>
      <c r="E246" s="24">
        <v>0</v>
      </c>
      <c r="F246" s="21">
        <v>2.8985507246376812E-2</v>
      </c>
    </row>
    <row r="247" spans="2:21" ht="17" thickBot="1" x14ac:dyDescent="0.25">
      <c r="B247" s="19" t="s">
        <v>139</v>
      </c>
      <c r="C247" s="22">
        <v>-7.246376811594203E-3</v>
      </c>
      <c r="D247" s="22">
        <v>-7.246376811594203E-3</v>
      </c>
      <c r="E247" s="22">
        <v>-2.8985507246376812E-2</v>
      </c>
      <c r="F247" s="25">
        <v>0</v>
      </c>
    </row>
    <row r="248" spans="2:21" x14ac:dyDescent="0.2">
      <c r="B248" s="3" t="s">
        <v>500</v>
      </c>
    </row>
    <row r="251" spans="2:21" x14ac:dyDescent="0.2">
      <c r="B251" s="3" t="s">
        <v>501</v>
      </c>
    </row>
    <row r="252" spans="2:21" ht="17" thickBot="1" x14ac:dyDescent="0.25"/>
    <row r="253" spans="2:21" ht="32" customHeight="1" x14ac:dyDescent="0.2">
      <c r="B253" s="5" t="s">
        <v>502</v>
      </c>
      <c r="C253" s="6" t="s">
        <v>3</v>
      </c>
      <c r="D253" s="6" t="s">
        <v>4</v>
      </c>
      <c r="E253" s="6" t="s">
        <v>5</v>
      </c>
      <c r="F253" s="6" t="s">
        <v>6</v>
      </c>
      <c r="G253" s="6" t="s">
        <v>7</v>
      </c>
      <c r="H253" s="6" t="s">
        <v>8</v>
      </c>
      <c r="I253" s="6" t="s">
        <v>9</v>
      </c>
      <c r="J253" s="6" t="s">
        <v>10</v>
      </c>
      <c r="K253" s="6" t="s">
        <v>11</v>
      </c>
      <c r="L253" s="6" t="s">
        <v>12</v>
      </c>
      <c r="M253" s="6" t="s">
        <v>13</v>
      </c>
      <c r="N253" s="6" t="s">
        <v>14</v>
      </c>
      <c r="O253" s="6" t="s">
        <v>15</v>
      </c>
      <c r="P253" s="6" t="s">
        <v>16</v>
      </c>
      <c r="Q253" s="6" t="s">
        <v>17</v>
      </c>
      <c r="R253" s="6" t="s">
        <v>18</v>
      </c>
      <c r="S253" s="6" t="s">
        <v>19</v>
      </c>
      <c r="T253" s="6" t="s">
        <v>20</v>
      </c>
      <c r="U253" s="6" t="s">
        <v>21</v>
      </c>
    </row>
    <row r="254" spans="2:21" x14ac:dyDescent="0.2">
      <c r="B254" s="7" t="s">
        <v>463</v>
      </c>
      <c r="C254" s="23">
        <v>3</v>
      </c>
      <c r="D254" s="23">
        <v>0</v>
      </c>
      <c r="E254" s="23">
        <v>7</v>
      </c>
      <c r="F254" s="23">
        <v>2</v>
      </c>
      <c r="G254" s="23">
        <v>9</v>
      </c>
      <c r="H254" s="23">
        <v>0</v>
      </c>
      <c r="I254" s="23">
        <v>29</v>
      </c>
      <c r="J254" s="23">
        <v>9</v>
      </c>
      <c r="K254" s="23">
        <v>3</v>
      </c>
      <c r="L254" s="23">
        <v>3</v>
      </c>
      <c r="M254" s="23">
        <v>4</v>
      </c>
      <c r="N254" s="23">
        <v>6</v>
      </c>
      <c r="O254" s="23">
        <v>2</v>
      </c>
      <c r="P254" s="23">
        <v>3</v>
      </c>
      <c r="Q254" s="23">
        <v>0</v>
      </c>
      <c r="R254" s="23">
        <v>1</v>
      </c>
      <c r="S254" s="23">
        <v>0</v>
      </c>
      <c r="T254" s="23">
        <v>2</v>
      </c>
      <c r="U254" s="23">
        <v>1</v>
      </c>
    </row>
    <row r="255" spans="2:21" x14ac:dyDescent="0.2">
      <c r="B255" s="4" t="s">
        <v>464</v>
      </c>
      <c r="C255" s="24">
        <v>1</v>
      </c>
      <c r="D255" s="24">
        <v>1</v>
      </c>
      <c r="E255" s="24">
        <v>8</v>
      </c>
      <c r="F255" s="24">
        <v>0</v>
      </c>
      <c r="G255" s="24">
        <v>18</v>
      </c>
      <c r="H255" s="24">
        <v>0</v>
      </c>
      <c r="I255" s="24">
        <v>35</v>
      </c>
      <c r="J255" s="24">
        <v>4</v>
      </c>
      <c r="K255" s="24">
        <v>3</v>
      </c>
      <c r="L255" s="24">
        <v>1</v>
      </c>
      <c r="M255" s="24">
        <v>3</v>
      </c>
      <c r="N255" s="24">
        <v>4</v>
      </c>
      <c r="O255" s="24">
        <v>2</v>
      </c>
      <c r="P255" s="24">
        <v>3</v>
      </c>
      <c r="Q255" s="24">
        <v>0</v>
      </c>
      <c r="R255" s="24">
        <v>4</v>
      </c>
      <c r="S255" s="24">
        <v>0</v>
      </c>
      <c r="T255" s="24">
        <v>4</v>
      </c>
      <c r="U255" s="24">
        <v>1</v>
      </c>
    </row>
    <row r="256" spans="2:21" x14ac:dyDescent="0.2">
      <c r="B256" s="4" t="s">
        <v>465</v>
      </c>
      <c r="C256" s="24">
        <v>2</v>
      </c>
      <c r="D256" s="24">
        <v>0</v>
      </c>
      <c r="E256" s="24">
        <v>4</v>
      </c>
      <c r="F256" s="24">
        <v>2</v>
      </c>
      <c r="G256" s="24">
        <v>15</v>
      </c>
      <c r="H256" s="24">
        <v>0</v>
      </c>
      <c r="I256" s="24">
        <v>37</v>
      </c>
      <c r="J256" s="24">
        <v>7</v>
      </c>
      <c r="K256" s="24">
        <v>3</v>
      </c>
      <c r="L256" s="24">
        <v>2</v>
      </c>
      <c r="M256" s="24">
        <v>6</v>
      </c>
      <c r="N256" s="24">
        <v>2</v>
      </c>
      <c r="O256" s="24">
        <v>5</v>
      </c>
      <c r="P256" s="24">
        <v>5</v>
      </c>
      <c r="Q256" s="24">
        <v>2</v>
      </c>
      <c r="R256" s="24">
        <v>2</v>
      </c>
      <c r="S256" s="24">
        <v>1</v>
      </c>
      <c r="T256" s="24">
        <v>0</v>
      </c>
      <c r="U256" s="24">
        <v>4</v>
      </c>
    </row>
    <row r="257" spans="2:21" ht="17" thickBot="1" x14ac:dyDescent="0.25">
      <c r="B257" s="8" t="s">
        <v>139</v>
      </c>
      <c r="C257" s="25">
        <v>2</v>
      </c>
      <c r="D257" s="25">
        <v>0</v>
      </c>
      <c r="E257" s="25">
        <v>8</v>
      </c>
      <c r="F257" s="25">
        <v>1</v>
      </c>
      <c r="G257" s="25">
        <v>12</v>
      </c>
      <c r="H257" s="25">
        <v>1</v>
      </c>
      <c r="I257" s="25">
        <v>39</v>
      </c>
      <c r="J257" s="25">
        <v>4</v>
      </c>
      <c r="K257" s="25">
        <v>5</v>
      </c>
      <c r="L257" s="25">
        <v>2</v>
      </c>
      <c r="M257" s="25">
        <v>1</v>
      </c>
      <c r="N257" s="25">
        <v>5</v>
      </c>
      <c r="O257" s="25">
        <v>3</v>
      </c>
      <c r="P257" s="25">
        <v>4</v>
      </c>
      <c r="Q257" s="25">
        <v>0</v>
      </c>
      <c r="R257" s="25">
        <v>2</v>
      </c>
      <c r="S257" s="25">
        <v>1</v>
      </c>
      <c r="T257" s="25">
        <v>1</v>
      </c>
      <c r="U257" s="25">
        <v>0</v>
      </c>
    </row>
    <row r="260" spans="2:21" x14ac:dyDescent="0.2">
      <c r="B260" s="3" t="s">
        <v>503</v>
      </c>
    </row>
    <row r="261" spans="2:21" ht="17" thickBot="1" x14ac:dyDescent="0.25"/>
    <row r="262" spans="2:21" x14ac:dyDescent="0.2">
      <c r="B262" s="26" t="s">
        <v>504</v>
      </c>
      <c r="C262" s="27">
        <v>48.378577234132266</v>
      </c>
    </row>
    <row r="263" spans="2:21" x14ac:dyDescent="0.2">
      <c r="B263" s="15" t="s">
        <v>505</v>
      </c>
      <c r="C263" s="13">
        <v>72.153216167027466</v>
      </c>
    </row>
    <row r="264" spans="2:21" x14ac:dyDescent="0.2">
      <c r="B264" s="15" t="s">
        <v>506</v>
      </c>
      <c r="C264" s="28">
        <v>54</v>
      </c>
    </row>
    <row r="265" spans="2:21" x14ac:dyDescent="0.2">
      <c r="B265" s="15" t="s">
        <v>507</v>
      </c>
      <c r="C265" s="13">
        <v>0.69010289350963894</v>
      </c>
    </row>
    <row r="266" spans="2:21" ht="17" thickBot="1" x14ac:dyDescent="0.25">
      <c r="B266" s="19" t="s">
        <v>508</v>
      </c>
      <c r="C266" s="29">
        <v>0.05</v>
      </c>
    </row>
    <row r="268" spans="2:21" x14ac:dyDescent="0.2">
      <c r="B268" s="3" t="s">
        <v>509</v>
      </c>
    </row>
    <row r="269" spans="2:21" x14ac:dyDescent="0.2">
      <c r="B269" s="3" t="s">
        <v>510</v>
      </c>
    </row>
    <row r="270" spans="2:21" x14ac:dyDescent="0.2">
      <c r="B270" s="3" t="s">
        <v>511</v>
      </c>
    </row>
    <row r="271" spans="2:21" ht="16" customHeight="1" x14ac:dyDescent="0.2">
      <c r="B271" s="46" t="s">
        <v>512</v>
      </c>
      <c r="C271" s="46"/>
      <c r="D271" s="46"/>
      <c r="E271" s="46"/>
      <c r="F271" s="46"/>
      <c r="G271" s="46"/>
      <c r="H271" s="46"/>
      <c r="I271" s="46"/>
      <c r="J271" s="46"/>
    </row>
    <row r="272" spans="2:21" x14ac:dyDescent="0.2">
      <c r="B272" s="46"/>
      <c r="C272" s="46"/>
      <c r="D272" s="46"/>
      <c r="E272" s="46"/>
      <c r="F272" s="46"/>
      <c r="G272" s="46"/>
      <c r="H272" s="46"/>
      <c r="I272" s="46"/>
      <c r="J272" s="46"/>
    </row>
    <row r="275" spans="2:5" x14ac:dyDescent="0.2">
      <c r="B275" s="3" t="s">
        <v>513</v>
      </c>
    </row>
    <row r="276" spans="2:5" ht="17" thickBot="1" x14ac:dyDescent="0.25"/>
    <row r="277" spans="2:5" ht="17" x14ac:dyDescent="0.2">
      <c r="B277" s="5"/>
      <c r="C277" s="6" t="s">
        <v>514</v>
      </c>
      <c r="D277" s="6" t="s">
        <v>515</v>
      </c>
      <c r="E277" s="6" t="s">
        <v>516</v>
      </c>
    </row>
    <row r="278" spans="2:5" x14ac:dyDescent="0.2">
      <c r="B278" s="7" t="s">
        <v>517</v>
      </c>
      <c r="C278" s="20">
        <v>6.4829475925046842E-2</v>
      </c>
      <c r="D278" s="20">
        <v>3.8645071401993233E-2</v>
      </c>
      <c r="E278" s="20">
        <v>2.8707357684250361E-2</v>
      </c>
    </row>
    <row r="279" spans="2:5" x14ac:dyDescent="0.2">
      <c r="B279" s="4" t="s">
        <v>518</v>
      </c>
      <c r="C279" s="21">
        <v>49.045651081749334</v>
      </c>
      <c r="D279" s="21">
        <v>29.236279654686719</v>
      </c>
      <c r="E279" s="21">
        <v>21.718069263563947</v>
      </c>
    </row>
    <row r="280" spans="2:5" ht="17" thickBot="1" x14ac:dyDescent="0.25">
      <c r="B280" s="8" t="s">
        <v>519</v>
      </c>
      <c r="C280" s="22">
        <v>49.045651081749334</v>
      </c>
      <c r="D280" s="22">
        <v>78.281930736436053</v>
      </c>
      <c r="E280" s="22">
        <v>100</v>
      </c>
    </row>
    <row r="298" spans="6:6" x14ac:dyDescent="0.2">
      <c r="F298" t="s">
        <v>520</v>
      </c>
    </row>
    <row r="316" spans="2:6" x14ac:dyDescent="0.2">
      <c r="F316" t="s">
        <v>520</v>
      </c>
    </row>
    <row r="319" spans="2:6" x14ac:dyDescent="0.2">
      <c r="B319" s="1" t="s">
        <v>521</v>
      </c>
    </row>
    <row r="321" spans="2:22" x14ac:dyDescent="0.2">
      <c r="B321" s="3" t="s">
        <v>522</v>
      </c>
    </row>
    <row r="322" spans="2:22" ht="17" thickBot="1" x14ac:dyDescent="0.25"/>
    <row r="323" spans="2:22" ht="32" customHeight="1" x14ac:dyDescent="0.2">
      <c r="B323" s="5"/>
      <c r="C323" s="6" t="s">
        <v>3</v>
      </c>
      <c r="D323" s="6" t="s">
        <v>4</v>
      </c>
      <c r="E323" s="6" t="s">
        <v>5</v>
      </c>
      <c r="F323" s="6" t="s">
        <v>6</v>
      </c>
      <c r="G323" s="6" t="s">
        <v>7</v>
      </c>
      <c r="H323" s="6" t="s">
        <v>8</v>
      </c>
      <c r="I323" s="6" t="s">
        <v>9</v>
      </c>
      <c r="J323" s="6" t="s">
        <v>10</v>
      </c>
      <c r="K323" s="6" t="s">
        <v>11</v>
      </c>
      <c r="L323" s="6" t="s">
        <v>12</v>
      </c>
      <c r="M323" s="6" t="s">
        <v>13</v>
      </c>
      <c r="N323" s="6" t="s">
        <v>14</v>
      </c>
      <c r="O323" s="6" t="s">
        <v>15</v>
      </c>
      <c r="P323" s="6" t="s">
        <v>16</v>
      </c>
      <c r="Q323" s="6" t="s">
        <v>17</v>
      </c>
      <c r="R323" s="6" t="s">
        <v>18</v>
      </c>
      <c r="S323" s="6" t="s">
        <v>19</v>
      </c>
      <c r="T323" s="6" t="s">
        <v>20</v>
      </c>
      <c r="U323" s="6" t="s">
        <v>21</v>
      </c>
      <c r="V323" s="30"/>
    </row>
    <row r="324" spans="2:22" x14ac:dyDescent="0.2">
      <c r="B324" s="7" t="s">
        <v>3</v>
      </c>
      <c r="C324" s="32">
        <v>1</v>
      </c>
      <c r="D324" s="20">
        <v>0.90429099999999996</v>
      </c>
      <c r="E324" s="20">
        <v>-0.70094599999999996</v>
      </c>
      <c r="F324" s="20">
        <v>0.54233600000000004</v>
      </c>
      <c r="G324" s="20">
        <v>0.25192300000000001</v>
      </c>
      <c r="H324" s="20">
        <v>-0.47420699999999999</v>
      </c>
      <c r="I324" s="20">
        <v>-0.18503700000000001</v>
      </c>
      <c r="J324" s="20">
        <v>0.43235600000000002</v>
      </c>
      <c r="K324" s="20">
        <v>0.34094200000000002</v>
      </c>
      <c r="L324" s="20">
        <v>0.45058399999999998</v>
      </c>
      <c r="M324" s="20">
        <v>-0.63096200000000002</v>
      </c>
      <c r="N324" s="20">
        <v>0.30230099999999999</v>
      </c>
      <c r="O324" s="20">
        <v>0.70442499999999997</v>
      </c>
      <c r="P324" s="20">
        <v>-0.63482499999999997</v>
      </c>
      <c r="Q324" s="20">
        <v>-0.498645</v>
      </c>
      <c r="R324" s="20">
        <v>-0.60757099999999997</v>
      </c>
      <c r="S324" s="20">
        <v>-0.498645</v>
      </c>
      <c r="T324" s="20">
        <v>-0.59522900000000001</v>
      </c>
      <c r="U324" s="20">
        <v>-0.58797600000000005</v>
      </c>
      <c r="V324" s="30"/>
    </row>
    <row r="325" spans="2:22" x14ac:dyDescent="0.2">
      <c r="B325" s="4" t="s">
        <v>4</v>
      </c>
      <c r="C325" s="21">
        <v>0.90429099999999996</v>
      </c>
      <c r="D325" s="34">
        <v>1</v>
      </c>
      <c r="E325" s="21">
        <v>-0.54005599999999998</v>
      </c>
      <c r="F325" s="21">
        <v>-0.45389600000000002</v>
      </c>
      <c r="G325" s="21">
        <v>-0.62942200000000004</v>
      </c>
      <c r="H325" s="21">
        <v>-0.28629700000000002</v>
      </c>
      <c r="I325" s="21">
        <v>-0.71427499999999999</v>
      </c>
      <c r="J325" s="21">
        <v>-0.53265300000000004</v>
      </c>
      <c r="K325" s="21">
        <v>-0.50179600000000002</v>
      </c>
      <c r="L325" s="21">
        <v>-0.47420699999999999</v>
      </c>
      <c r="M325" s="21">
        <v>-0.50179600000000002</v>
      </c>
      <c r="N325" s="21">
        <v>0.970055</v>
      </c>
      <c r="O325" s="21">
        <v>-0.49378499999999997</v>
      </c>
      <c r="P325" s="21">
        <v>-0.50549100000000002</v>
      </c>
      <c r="Q325" s="21">
        <v>-0.368062</v>
      </c>
      <c r="R325" s="21">
        <v>-0.479684</v>
      </c>
      <c r="S325" s="21">
        <v>-0.368062</v>
      </c>
      <c r="T325" s="21">
        <v>-0.468194</v>
      </c>
      <c r="U325" s="21">
        <v>-0.46149699999999999</v>
      </c>
      <c r="V325" s="30"/>
    </row>
    <row r="326" spans="2:22" x14ac:dyDescent="0.2">
      <c r="B326" s="4" t="s">
        <v>5</v>
      </c>
      <c r="C326" s="21">
        <v>-0.70094599999999996</v>
      </c>
      <c r="D326" s="21">
        <v>-0.54005599999999998</v>
      </c>
      <c r="E326" s="34">
        <v>1</v>
      </c>
      <c r="F326" s="21">
        <v>-0.64743799999999996</v>
      </c>
      <c r="G326" s="21">
        <v>3.5749999999999997E-2</v>
      </c>
      <c r="H326" s="21">
        <v>-0.54005599999999998</v>
      </c>
      <c r="I326" s="21">
        <v>-4.8651E-2</v>
      </c>
      <c r="J326" s="21">
        <v>0.13355400000000001</v>
      </c>
      <c r="K326" s="21">
        <v>0.49560399999999999</v>
      </c>
      <c r="L326" s="21">
        <v>-0.70094599999999996</v>
      </c>
      <c r="M326" s="21">
        <v>0.26666600000000001</v>
      </c>
      <c r="N326" s="21">
        <v>0.218695</v>
      </c>
      <c r="O326" s="21">
        <v>0.304948</v>
      </c>
      <c r="P326" s="21">
        <v>6.8288000000000001E-2</v>
      </c>
      <c r="Q326" s="21">
        <v>-0.60809299999999999</v>
      </c>
      <c r="R326" s="21">
        <v>0.181534</v>
      </c>
      <c r="S326" s="21">
        <v>0.55376099999999995</v>
      </c>
      <c r="T326" s="21">
        <v>-0.69463699999999995</v>
      </c>
      <c r="U326" s="21">
        <v>0.48308800000000002</v>
      </c>
      <c r="V326" s="30"/>
    </row>
    <row r="327" spans="2:22" x14ac:dyDescent="0.2">
      <c r="B327" s="4" t="s">
        <v>6</v>
      </c>
      <c r="C327" s="21">
        <v>0.54233600000000004</v>
      </c>
      <c r="D327" s="21">
        <v>-0.45389600000000002</v>
      </c>
      <c r="E327" s="21">
        <v>-0.64743799999999996</v>
      </c>
      <c r="F327" s="34">
        <v>1</v>
      </c>
      <c r="G327" s="21">
        <v>0.39263799999999999</v>
      </c>
      <c r="H327" s="21">
        <v>-0.45389600000000002</v>
      </c>
      <c r="I327" s="21">
        <v>0.15286</v>
      </c>
      <c r="J327" s="21">
        <v>0.33913900000000002</v>
      </c>
      <c r="K327" s="21">
        <v>0.44105100000000003</v>
      </c>
      <c r="L327" s="21">
        <v>0.54233600000000004</v>
      </c>
      <c r="M327" s="21">
        <v>0.44105100000000003</v>
      </c>
      <c r="N327" s="21">
        <v>-0.61937600000000004</v>
      </c>
      <c r="O327" s="21">
        <v>-0.60019100000000003</v>
      </c>
      <c r="P327" s="21">
        <v>-0.61230300000000004</v>
      </c>
      <c r="Q327" s="21">
        <v>-0.47754999999999997</v>
      </c>
      <c r="R327" s="21">
        <v>-0.58545700000000001</v>
      </c>
      <c r="S327" s="21">
        <v>-0.47754999999999997</v>
      </c>
      <c r="T327" s="21">
        <v>-0.57333199999999995</v>
      </c>
      <c r="U327" s="21">
        <v>-0.56621600000000005</v>
      </c>
      <c r="V327" s="30"/>
    </row>
    <row r="328" spans="2:22" x14ac:dyDescent="0.2">
      <c r="B328" s="4" t="s">
        <v>7</v>
      </c>
      <c r="C328" s="21">
        <v>0.25192300000000001</v>
      </c>
      <c r="D328" s="21">
        <v>-0.62942200000000004</v>
      </c>
      <c r="E328" s="21">
        <v>3.5749999999999997E-2</v>
      </c>
      <c r="F328" s="21">
        <v>0.39263799999999999</v>
      </c>
      <c r="G328" s="34">
        <v>1</v>
      </c>
      <c r="H328" s="21">
        <v>-0.62942200000000004</v>
      </c>
      <c r="I328" s="21">
        <v>9.9279999999999993E-3</v>
      </c>
      <c r="J328" s="21">
        <v>6.8877999999999995E-2</v>
      </c>
      <c r="K328" s="21">
        <v>0.48682199999999998</v>
      </c>
      <c r="L328" s="21">
        <v>0.25192300000000001</v>
      </c>
      <c r="M328" s="21">
        <v>0.22295799999999999</v>
      </c>
      <c r="N328" s="21">
        <v>-0.115786</v>
      </c>
      <c r="O328" s="21">
        <v>0.46265800000000001</v>
      </c>
      <c r="P328" s="21">
        <v>8.0857999999999999E-2</v>
      </c>
      <c r="Q328" s="21">
        <v>-0.65602899999999997</v>
      </c>
      <c r="R328" s="21">
        <v>0.218803</v>
      </c>
      <c r="S328" s="21">
        <v>0.43266500000000002</v>
      </c>
      <c r="T328" s="21">
        <v>8.9130000000000001E-2</v>
      </c>
      <c r="U328" s="21">
        <v>-0.73303700000000005</v>
      </c>
      <c r="V328" s="30"/>
    </row>
    <row r="329" spans="2:22" x14ac:dyDescent="0.2">
      <c r="B329" s="4" t="s">
        <v>8</v>
      </c>
      <c r="C329" s="21">
        <v>-0.47420699999999999</v>
      </c>
      <c r="D329" s="21">
        <v>-0.28629700000000002</v>
      </c>
      <c r="E329" s="21">
        <v>-0.54005599999999998</v>
      </c>
      <c r="F329" s="21">
        <v>-0.45389600000000002</v>
      </c>
      <c r="G329" s="21">
        <v>-0.62942200000000004</v>
      </c>
      <c r="H329" s="34">
        <v>1</v>
      </c>
      <c r="I329" s="21">
        <v>0.87758100000000006</v>
      </c>
      <c r="J329" s="21">
        <v>-0.53265300000000004</v>
      </c>
      <c r="K329" s="21">
        <v>-0.50179600000000002</v>
      </c>
      <c r="L329" s="21">
        <v>-0.47420699999999999</v>
      </c>
      <c r="M329" s="21">
        <v>-0.50179600000000002</v>
      </c>
      <c r="N329" s="21">
        <v>-0.51237600000000005</v>
      </c>
      <c r="O329" s="21">
        <v>-0.49378499999999997</v>
      </c>
      <c r="P329" s="21">
        <v>-0.50549100000000002</v>
      </c>
      <c r="Q329" s="21">
        <v>-0.368062</v>
      </c>
      <c r="R329" s="21">
        <v>-0.479684</v>
      </c>
      <c r="S329" s="21">
        <v>-0.368062</v>
      </c>
      <c r="T329" s="21">
        <v>-0.468194</v>
      </c>
      <c r="U329" s="21">
        <v>-0.46149699999999999</v>
      </c>
      <c r="V329" s="30"/>
    </row>
    <row r="330" spans="2:22" x14ac:dyDescent="0.2">
      <c r="B330" s="4" t="s">
        <v>9</v>
      </c>
      <c r="C330" s="21">
        <v>-0.18503700000000001</v>
      </c>
      <c r="D330" s="21">
        <v>-0.71427499999999999</v>
      </c>
      <c r="E330" s="21">
        <v>-4.8651E-2</v>
      </c>
      <c r="F330" s="21">
        <v>0.15286</v>
      </c>
      <c r="G330" s="21">
        <v>9.9279999999999993E-3</v>
      </c>
      <c r="H330" s="21">
        <v>0.87758100000000006</v>
      </c>
      <c r="I330" s="34">
        <v>1</v>
      </c>
      <c r="J330" s="21">
        <v>-0.87467499999999998</v>
      </c>
      <c r="K330" s="21">
        <v>0.12850600000000001</v>
      </c>
      <c r="L330" s="21">
        <v>-0.82323400000000002</v>
      </c>
      <c r="M330" s="21">
        <v>-5.4649999999999997E-2</v>
      </c>
      <c r="N330" s="21">
        <v>-0.115301</v>
      </c>
      <c r="O330" s="21">
        <v>9.8006999999999997E-2</v>
      </c>
      <c r="P330" s="21">
        <v>-7.6457999999999998E-2</v>
      </c>
      <c r="Q330" s="21">
        <v>-0.74126099999999995</v>
      </c>
      <c r="R330" s="21">
        <v>-0.21337800000000001</v>
      </c>
      <c r="S330" s="21">
        <v>-0.74126099999999995</v>
      </c>
      <c r="T330" s="21">
        <v>-0.15221100000000001</v>
      </c>
      <c r="U330" s="21">
        <v>8.8719999999999993E-2</v>
      </c>
      <c r="V330" s="30"/>
    </row>
    <row r="331" spans="2:22" x14ac:dyDescent="0.2">
      <c r="B331" s="4" t="s">
        <v>10</v>
      </c>
      <c r="C331" s="21">
        <v>0.43235600000000002</v>
      </c>
      <c r="D331" s="21">
        <v>-0.53265300000000004</v>
      </c>
      <c r="E331" s="21">
        <v>0.13355400000000001</v>
      </c>
      <c r="F331" s="21">
        <v>0.33913900000000002</v>
      </c>
      <c r="G331" s="21">
        <v>6.8877999999999995E-2</v>
      </c>
      <c r="H331" s="21">
        <v>-0.53265300000000004</v>
      </c>
      <c r="I331" s="21">
        <v>-0.87467499999999998</v>
      </c>
      <c r="J331" s="34">
        <v>1</v>
      </c>
      <c r="K331" s="21">
        <v>-0.72202200000000005</v>
      </c>
      <c r="L331" s="21">
        <v>0.67644800000000005</v>
      </c>
      <c r="M331" s="21">
        <v>0.108956</v>
      </c>
      <c r="N331" s="21">
        <v>-0.73245400000000005</v>
      </c>
      <c r="O331" s="21">
        <v>0.142758</v>
      </c>
      <c r="P331" s="21">
        <v>9.3842999999999996E-2</v>
      </c>
      <c r="Q331" s="21">
        <v>0.57258600000000004</v>
      </c>
      <c r="R331" s="21">
        <v>0.40278199999999997</v>
      </c>
      <c r="S331" s="21">
        <v>-0.60081300000000004</v>
      </c>
      <c r="T331" s="21">
        <v>-0.65612599999999999</v>
      </c>
      <c r="U331" s="21">
        <v>-0.64860700000000004</v>
      </c>
      <c r="V331" s="30"/>
    </row>
    <row r="332" spans="2:22" x14ac:dyDescent="0.2">
      <c r="B332" s="4" t="s">
        <v>11</v>
      </c>
      <c r="C332" s="21">
        <v>0.34094200000000002</v>
      </c>
      <c r="D332" s="21">
        <v>-0.50179600000000002</v>
      </c>
      <c r="E332" s="21">
        <v>0.49560399999999999</v>
      </c>
      <c r="F332" s="21">
        <v>0.44105100000000003</v>
      </c>
      <c r="G332" s="21">
        <v>0.48682199999999998</v>
      </c>
      <c r="H332" s="21">
        <v>-0.50179600000000002</v>
      </c>
      <c r="I332" s="21">
        <v>0.12850600000000001</v>
      </c>
      <c r="J332" s="21">
        <v>-0.72202200000000005</v>
      </c>
      <c r="K332" s="34">
        <v>1</v>
      </c>
      <c r="L332" s="21">
        <v>-0.63096200000000002</v>
      </c>
      <c r="M332" s="21">
        <v>0.54711299999999996</v>
      </c>
      <c r="N332" s="21">
        <v>-0.70241299999999995</v>
      </c>
      <c r="O332" s="21">
        <v>0.45114500000000002</v>
      </c>
      <c r="P332" s="21">
        <v>-0.69562100000000004</v>
      </c>
      <c r="Q332" s="21">
        <v>-0.57016699999999998</v>
      </c>
      <c r="R332" s="21">
        <v>0.51588699999999998</v>
      </c>
      <c r="S332" s="21">
        <v>0.65388800000000002</v>
      </c>
      <c r="T332" s="21">
        <v>0.36913699999999999</v>
      </c>
      <c r="U332" s="21">
        <v>0.401893</v>
      </c>
      <c r="V332" s="30"/>
    </row>
    <row r="333" spans="2:22" x14ac:dyDescent="0.2">
      <c r="B333" s="4" t="s">
        <v>12</v>
      </c>
      <c r="C333" s="21">
        <v>0.45058399999999998</v>
      </c>
      <c r="D333" s="21">
        <v>-0.47420699999999999</v>
      </c>
      <c r="E333" s="21">
        <v>-0.70094599999999996</v>
      </c>
      <c r="F333" s="21">
        <v>0.54233600000000004</v>
      </c>
      <c r="G333" s="21">
        <v>0.25192300000000001</v>
      </c>
      <c r="H333" s="21">
        <v>-0.47420699999999999</v>
      </c>
      <c r="I333" s="21">
        <v>-0.82323400000000002</v>
      </c>
      <c r="J333" s="21">
        <v>0.67644800000000005</v>
      </c>
      <c r="K333" s="21">
        <v>-0.63096200000000002</v>
      </c>
      <c r="L333" s="34">
        <v>1</v>
      </c>
      <c r="M333" s="21">
        <v>-0.63096200000000002</v>
      </c>
      <c r="N333" s="21">
        <v>-0.641988</v>
      </c>
      <c r="O333" s="21">
        <v>-0.62254200000000004</v>
      </c>
      <c r="P333" s="21">
        <v>-0.63482499999999997</v>
      </c>
      <c r="Q333" s="21">
        <v>-0.498645</v>
      </c>
      <c r="R333" s="21">
        <v>-0.60757099999999997</v>
      </c>
      <c r="S333" s="21">
        <v>-0.498645</v>
      </c>
      <c r="T333" s="21">
        <v>-0.59522900000000001</v>
      </c>
      <c r="U333" s="21">
        <v>-0.58797600000000005</v>
      </c>
      <c r="V333" s="30"/>
    </row>
    <row r="334" spans="2:22" x14ac:dyDescent="0.2">
      <c r="B334" s="4" t="s">
        <v>13</v>
      </c>
      <c r="C334" s="21">
        <v>-0.63096200000000002</v>
      </c>
      <c r="D334" s="21">
        <v>-0.50179600000000002</v>
      </c>
      <c r="E334" s="21">
        <v>0.26666600000000001</v>
      </c>
      <c r="F334" s="21">
        <v>0.44105100000000003</v>
      </c>
      <c r="G334" s="21">
        <v>0.22295799999999999</v>
      </c>
      <c r="H334" s="21">
        <v>-0.50179600000000002</v>
      </c>
      <c r="I334" s="21">
        <v>-5.4649999999999997E-2</v>
      </c>
      <c r="J334" s="21">
        <v>0.108956</v>
      </c>
      <c r="K334" s="21">
        <v>0.54711299999999996</v>
      </c>
      <c r="L334" s="21">
        <v>-0.63096200000000002</v>
      </c>
      <c r="M334" s="34">
        <v>1</v>
      </c>
      <c r="N334" s="21">
        <v>-0.70241299999999995</v>
      </c>
      <c r="O334" s="21">
        <v>0.25579600000000002</v>
      </c>
      <c r="P334" s="21">
        <v>0.208894</v>
      </c>
      <c r="Q334" s="21">
        <v>-0.57016699999999998</v>
      </c>
      <c r="R334" s="21">
        <v>-0.63693500000000003</v>
      </c>
      <c r="S334" s="21">
        <v>0.65388800000000002</v>
      </c>
      <c r="T334" s="21">
        <v>-0.62436100000000005</v>
      </c>
      <c r="U334" s="21">
        <v>-0.61695900000000004</v>
      </c>
      <c r="V334" s="30"/>
    </row>
    <row r="335" spans="2:22" x14ac:dyDescent="0.2">
      <c r="B335" s="4" t="s">
        <v>14</v>
      </c>
      <c r="C335" s="21">
        <v>0.30230099999999999</v>
      </c>
      <c r="D335" s="21">
        <v>0.970055</v>
      </c>
      <c r="E335" s="21">
        <v>0.218695</v>
      </c>
      <c r="F335" s="21">
        <v>-0.61937600000000004</v>
      </c>
      <c r="G335" s="21">
        <v>-0.115786</v>
      </c>
      <c r="H335" s="21">
        <v>-0.51237600000000005</v>
      </c>
      <c r="I335" s="21">
        <v>-0.115301</v>
      </c>
      <c r="J335" s="21">
        <v>-0.73245400000000005</v>
      </c>
      <c r="K335" s="21">
        <v>-0.70241299999999995</v>
      </c>
      <c r="L335" s="21">
        <v>-0.641988</v>
      </c>
      <c r="M335" s="21">
        <v>-0.70241299999999995</v>
      </c>
      <c r="N335" s="34">
        <v>1</v>
      </c>
      <c r="O335" s="21">
        <v>-0.69437700000000002</v>
      </c>
      <c r="P335" s="21">
        <v>0.35664699999999999</v>
      </c>
      <c r="Q335" s="21">
        <v>-0.58073200000000003</v>
      </c>
      <c r="R335" s="21">
        <v>-0.64799200000000001</v>
      </c>
      <c r="S335" s="21">
        <v>-0.58073200000000003</v>
      </c>
      <c r="T335" s="21">
        <v>0.33115600000000001</v>
      </c>
      <c r="U335" s="21">
        <v>-0.62790100000000004</v>
      </c>
      <c r="V335" s="30"/>
    </row>
    <row r="336" spans="2:22" x14ac:dyDescent="0.2">
      <c r="B336" s="4" t="s">
        <v>15</v>
      </c>
      <c r="C336" s="21">
        <v>0.70442499999999997</v>
      </c>
      <c r="D336" s="21">
        <v>-0.49378499999999997</v>
      </c>
      <c r="E336" s="21">
        <v>0.304948</v>
      </c>
      <c r="F336" s="21">
        <v>-0.60019100000000003</v>
      </c>
      <c r="G336" s="21">
        <v>0.46265800000000001</v>
      </c>
      <c r="H336" s="21">
        <v>-0.49378499999999997</v>
      </c>
      <c r="I336" s="21">
        <v>9.8006999999999997E-2</v>
      </c>
      <c r="J336" s="21">
        <v>0.142758</v>
      </c>
      <c r="K336" s="21">
        <v>0.45114500000000002</v>
      </c>
      <c r="L336" s="21">
        <v>-0.62254200000000004</v>
      </c>
      <c r="M336" s="21">
        <v>0.25579600000000002</v>
      </c>
      <c r="N336" s="21">
        <v>-0.69437700000000002</v>
      </c>
      <c r="O336" s="34">
        <v>1</v>
      </c>
      <c r="P336" s="21">
        <v>0.241481</v>
      </c>
      <c r="Q336" s="21">
        <v>-0.51893199999999995</v>
      </c>
      <c r="R336" s="21">
        <v>0.54747800000000002</v>
      </c>
      <c r="S336" s="21">
        <v>-0.51893199999999995</v>
      </c>
      <c r="T336" s="21">
        <v>-0.61597400000000002</v>
      </c>
      <c r="U336" s="21">
        <v>0.43104300000000001</v>
      </c>
      <c r="V336" s="30"/>
    </row>
    <row r="337" spans="2:22" x14ac:dyDescent="0.2">
      <c r="B337" s="4" t="s">
        <v>16</v>
      </c>
      <c r="C337" s="21">
        <v>-0.63482499999999997</v>
      </c>
      <c r="D337" s="21">
        <v>-0.50549100000000002</v>
      </c>
      <c r="E337" s="21">
        <v>6.8288000000000001E-2</v>
      </c>
      <c r="F337" s="21">
        <v>-0.61230300000000004</v>
      </c>
      <c r="G337" s="21">
        <v>8.0857999999999999E-2</v>
      </c>
      <c r="H337" s="21">
        <v>-0.50549100000000002</v>
      </c>
      <c r="I337" s="21">
        <v>-7.6457999999999998E-2</v>
      </c>
      <c r="J337" s="21">
        <v>9.3842999999999996E-2</v>
      </c>
      <c r="K337" s="21">
        <v>-0.69562100000000004</v>
      </c>
      <c r="L337" s="21">
        <v>-0.63482499999999997</v>
      </c>
      <c r="M337" s="21">
        <v>0.208894</v>
      </c>
      <c r="N337" s="21">
        <v>0.35664699999999999</v>
      </c>
      <c r="O337" s="21">
        <v>0.241481</v>
      </c>
      <c r="P337" s="34">
        <v>1</v>
      </c>
      <c r="Q337" s="21">
        <v>-0.57386300000000001</v>
      </c>
      <c r="R337" s="21">
        <v>0.302286</v>
      </c>
      <c r="S337" s="21">
        <v>-0.57386300000000001</v>
      </c>
      <c r="T337" s="21">
        <v>0.55967900000000004</v>
      </c>
      <c r="U337" s="21">
        <v>-0.62079099999999998</v>
      </c>
      <c r="V337" s="30"/>
    </row>
    <row r="338" spans="2:22" x14ac:dyDescent="0.2">
      <c r="B338" s="4" t="s">
        <v>17</v>
      </c>
      <c r="C338" s="21">
        <v>-0.498645</v>
      </c>
      <c r="D338" s="21">
        <v>-0.368062</v>
      </c>
      <c r="E338" s="21">
        <v>-0.60809299999999999</v>
      </c>
      <c r="F338" s="21">
        <v>-0.47754999999999997</v>
      </c>
      <c r="G338" s="21">
        <v>-0.65602899999999997</v>
      </c>
      <c r="H338" s="21">
        <v>-0.368062</v>
      </c>
      <c r="I338" s="21">
        <v>-0.74126099999999995</v>
      </c>
      <c r="J338" s="21">
        <v>0.57258600000000004</v>
      </c>
      <c r="K338" s="21">
        <v>-0.57016699999999998</v>
      </c>
      <c r="L338" s="21">
        <v>-0.498645</v>
      </c>
      <c r="M338" s="21">
        <v>-0.57016699999999998</v>
      </c>
      <c r="N338" s="21">
        <v>-0.58073200000000003</v>
      </c>
      <c r="O338" s="21">
        <v>-0.51893199999999995</v>
      </c>
      <c r="P338" s="21">
        <v>-0.57386300000000001</v>
      </c>
      <c r="Q338" s="34">
        <v>1</v>
      </c>
      <c r="R338" s="21">
        <v>-0.50432500000000002</v>
      </c>
      <c r="S338" s="21">
        <v>-0.38957799999999998</v>
      </c>
      <c r="T338" s="21">
        <v>-0.49240499999999998</v>
      </c>
      <c r="U338" s="21">
        <v>-0.48544999999999999</v>
      </c>
      <c r="V338" s="30"/>
    </row>
    <row r="339" spans="2:22" x14ac:dyDescent="0.2">
      <c r="B339" s="4" t="s">
        <v>18</v>
      </c>
      <c r="C339" s="21">
        <v>-0.60757099999999997</v>
      </c>
      <c r="D339" s="21">
        <v>-0.479684</v>
      </c>
      <c r="E339" s="21">
        <v>0.181534</v>
      </c>
      <c r="F339" s="21">
        <v>-0.58545700000000001</v>
      </c>
      <c r="G339" s="21">
        <v>0.218803</v>
      </c>
      <c r="H339" s="21">
        <v>-0.479684</v>
      </c>
      <c r="I339" s="21">
        <v>-0.21337800000000001</v>
      </c>
      <c r="J339" s="21">
        <v>0.40278199999999997</v>
      </c>
      <c r="K339" s="21">
        <v>0.51588699999999998</v>
      </c>
      <c r="L339" s="21">
        <v>-0.60757099999999997</v>
      </c>
      <c r="M339" s="21">
        <v>-0.63693500000000003</v>
      </c>
      <c r="N339" s="21">
        <v>-0.64799200000000001</v>
      </c>
      <c r="O339" s="21">
        <v>0.54747800000000002</v>
      </c>
      <c r="P339" s="21">
        <v>0.302286</v>
      </c>
      <c r="Q339" s="21">
        <v>-0.50432500000000002</v>
      </c>
      <c r="R339" s="34">
        <v>1</v>
      </c>
      <c r="S339" s="21">
        <v>-0.50432500000000002</v>
      </c>
      <c r="T339" s="21">
        <v>0.45413799999999999</v>
      </c>
      <c r="U339" s="21">
        <v>-0.593781</v>
      </c>
      <c r="V339" s="30"/>
    </row>
    <row r="340" spans="2:22" x14ac:dyDescent="0.2">
      <c r="B340" s="4" t="s">
        <v>19</v>
      </c>
      <c r="C340" s="21">
        <v>-0.498645</v>
      </c>
      <c r="D340" s="21">
        <v>-0.368062</v>
      </c>
      <c r="E340" s="21">
        <v>0.55376099999999995</v>
      </c>
      <c r="F340" s="21">
        <v>-0.47754999999999997</v>
      </c>
      <c r="G340" s="21">
        <v>0.43266500000000002</v>
      </c>
      <c r="H340" s="21">
        <v>-0.368062</v>
      </c>
      <c r="I340" s="21">
        <v>-0.74126099999999995</v>
      </c>
      <c r="J340" s="21">
        <v>-0.60081300000000004</v>
      </c>
      <c r="K340" s="21">
        <v>0.65388800000000002</v>
      </c>
      <c r="L340" s="21">
        <v>-0.498645</v>
      </c>
      <c r="M340" s="21">
        <v>0.65388800000000002</v>
      </c>
      <c r="N340" s="21">
        <v>-0.58073200000000003</v>
      </c>
      <c r="O340" s="21">
        <v>-0.51893199999999995</v>
      </c>
      <c r="P340" s="21">
        <v>-0.57386300000000001</v>
      </c>
      <c r="Q340" s="21">
        <v>-0.38957799999999998</v>
      </c>
      <c r="R340" s="21">
        <v>-0.50432500000000002</v>
      </c>
      <c r="S340" s="34">
        <v>1</v>
      </c>
      <c r="T340" s="21">
        <v>-0.49240499999999998</v>
      </c>
      <c r="U340" s="21">
        <v>-0.48544999999999999</v>
      </c>
      <c r="V340" s="30"/>
    </row>
    <row r="341" spans="2:22" x14ac:dyDescent="0.2">
      <c r="B341" s="4" t="s">
        <v>20</v>
      </c>
      <c r="C341" s="21">
        <v>-0.59522900000000001</v>
      </c>
      <c r="D341" s="21">
        <v>-0.468194</v>
      </c>
      <c r="E341" s="21">
        <v>-0.69463699999999995</v>
      </c>
      <c r="F341" s="21">
        <v>-0.57333199999999995</v>
      </c>
      <c r="G341" s="21">
        <v>8.9130000000000001E-2</v>
      </c>
      <c r="H341" s="21">
        <v>-0.468194</v>
      </c>
      <c r="I341" s="21">
        <v>-0.15221100000000001</v>
      </c>
      <c r="J341" s="21">
        <v>-0.65612599999999999</v>
      </c>
      <c r="K341" s="21">
        <v>0.36913699999999999</v>
      </c>
      <c r="L341" s="21">
        <v>-0.59522900000000001</v>
      </c>
      <c r="M341" s="21">
        <v>-0.62436100000000005</v>
      </c>
      <c r="N341" s="21">
        <v>0.33115600000000001</v>
      </c>
      <c r="O341" s="21">
        <v>-0.61597400000000002</v>
      </c>
      <c r="P341" s="21">
        <v>0.55967900000000004</v>
      </c>
      <c r="Q341" s="21">
        <v>-0.49240499999999998</v>
      </c>
      <c r="R341" s="21">
        <v>0.45413799999999999</v>
      </c>
      <c r="S341" s="21">
        <v>-0.49240499999999998</v>
      </c>
      <c r="T341" s="34">
        <v>1</v>
      </c>
      <c r="U341" s="21">
        <v>-0.58157099999999995</v>
      </c>
      <c r="V341" s="30"/>
    </row>
    <row r="342" spans="2:22" ht="17" thickBot="1" x14ac:dyDescent="0.25">
      <c r="B342" s="8" t="s">
        <v>21</v>
      </c>
      <c r="C342" s="22">
        <v>-0.58797600000000005</v>
      </c>
      <c r="D342" s="22">
        <v>-0.46149699999999999</v>
      </c>
      <c r="E342" s="22">
        <v>0.48308800000000002</v>
      </c>
      <c r="F342" s="22">
        <v>-0.56621600000000005</v>
      </c>
      <c r="G342" s="22">
        <v>-0.73303700000000005</v>
      </c>
      <c r="H342" s="22">
        <v>-0.46149699999999999</v>
      </c>
      <c r="I342" s="22">
        <v>8.8719999999999993E-2</v>
      </c>
      <c r="J342" s="22">
        <v>-0.64860700000000004</v>
      </c>
      <c r="K342" s="22">
        <v>0.401893</v>
      </c>
      <c r="L342" s="22">
        <v>-0.58797600000000005</v>
      </c>
      <c r="M342" s="22">
        <v>-0.61695900000000004</v>
      </c>
      <c r="N342" s="22">
        <v>-0.62790100000000004</v>
      </c>
      <c r="O342" s="22">
        <v>0.43104300000000001</v>
      </c>
      <c r="P342" s="22">
        <v>-0.62079099999999998</v>
      </c>
      <c r="Q342" s="22">
        <v>-0.48544999999999999</v>
      </c>
      <c r="R342" s="22">
        <v>-0.593781</v>
      </c>
      <c r="S342" s="22">
        <v>-0.48544999999999999</v>
      </c>
      <c r="T342" s="22">
        <v>-0.58157099999999995</v>
      </c>
      <c r="U342" s="35">
        <v>1</v>
      </c>
      <c r="V342" s="30"/>
    </row>
    <row r="345" spans="2:22" x14ac:dyDescent="0.2">
      <c r="B345" s="3" t="s">
        <v>523</v>
      </c>
    </row>
    <row r="346" spans="2:22" ht="17" thickBot="1" x14ac:dyDescent="0.25"/>
    <row r="347" spans="2:22" ht="17" x14ac:dyDescent="0.2">
      <c r="B347" s="5"/>
      <c r="C347" s="6" t="s">
        <v>514</v>
      </c>
      <c r="D347" s="6" t="s">
        <v>515</v>
      </c>
      <c r="E347" s="6" t="s">
        <v>516</v>
      </c>
      <c r="F347" s="6" t="s">
        <v>524</v>
      </c>
      <c r="G347" s="6" t="s">
        <v>525</v>
      </c>
      <c r="H347" s="6" t="s">
        <v>526</v>
      </c>
      <c r="I347" s="6" t="s">
        <v>527</v>
      </c>
      <c r="J347" s="6" t="s">
        <v>528</v>
      </c>
      <c r="K347" s="6" t="s">
        <v>529</v>
      </c>
      <c r="L347" s="6" t="s">
        <v>530</v>
      </c>
      <c r="M347" s="6" t="s">
        <v>531</v>
      </c>
      <c r="N347" s="6" t="s">
        <v>532</v>
      </c>
      <c r="O347" s="6" t="s">
        <v>533</v>
      </c>
      <c r="P347" s="6" t="s">
        <v>534</v>
      </c>
      <c r="Q347" s="6" t="s">
        <v>535</v>
      </c>
      <c r="R347" s="6" t="s">
        <v>536</v>
      </c>
      <c r="S347" s="6" t="s">
        <v>537</v>
      </c>
    </row>
    <row r="348" spans="2:22" x14ac:dyDescent="0.2">
      <c r="B348" s="7" t="s">
        <v>517</v>
      </c>
      <c r="C348" s="20">
        <v>6.854769155547034</v>
      </c>
      <c r="D348" s="20">
        <v>6.1720566356343882</v>
      </c>
      <c r="E348" s="20">
        <v>5.5119130812486672</v>
      </c>
      <c r="F348" s="20">
        <v>5.0040156446168993</v>
      </c>
      <c r="G348" s="20">
        <v>4.6931669985984588</v>
      </c>
      <c r="H348" s="20">
        <v>4.3627359913928876</v>
      </c>
      <c r="I348" s="20">
        <v>4.1449017113811593</v>
      </c>
      <c r="J348" s="20">
        <v>3.2808747423575113</v>
      </c>
      <c r="K348" s="20">
        <v>3.0978420042732426</v>
      </c>
      <c r="L348" s="20">
        <v>2.5684051072826728</v>
      </c>
      <c r="M348" s="20">
        <v>2.5398815650153654</v>
      </c>
      <c r="N348" s="20">
        <v>1.6749561832840827</v>
      </c>
      <c r="O348" s="20">
        <v>1.3552033591575163</v>
      </c>
      <c r="P348" s="20">
        <v>1.2460399317660908</v>
      </c>
      <c r="Q348" s="20">
        <v>1.0351786539582626</v>
      </c>
      <c r="R348" s="20">
        <v>0.79187927463437058</v>
      </c>
      <c r="S348" s="20">
        <v>0.63627841645115057</v>
      </c>
    </row>
    <row r="349" spans="2:22" x14ac:dyDescent="0.2">
      <c r="B349" s="4" t="s">
        <v>538</v>
      </c>
      <c r="C349" s="21">
        <v>12.469996139735938</v>
      </c>
      <c r="D349" s="21">
        <v>11.228025433695338</v>
      </c>
      <c r="E349" s="21">
        <v>10.027111531554667</v>
      </c>
      <c r="F349" s="21">
        <v>9.1031593268250983</v>
      </c>
      <c r="G349" s="21">
        <v>8.5376725353763554</v>
      </c>
      <c r="H349" s="21">
        <v>7.9365620835432473</v>
      </c>
      <c r="I349" s="21">
        <v>7.5402843141233618</v>
      </c>
      <c r="J349" s="21">
        <v>5.9684716499968484</v>
      </c>
      <c r="K349" s="21">
        <v>5.6355038307218344</v>
      </c>
      <c r="L349" s="21">
        <v>4.6723676678703647</v>
      </c>
      <c r="M349" s="21">
        <v>4.6204784716197382</v>
      </c>
      <c r="N349" s="21">
        <v>3.0470314412962201</v>
      </c>
      <c r="O349" s="21">
        <v>2.4653464287088425</v>
      </c>
      <c r="P349" s="21">
        <v>2.2667595051696514</v>
      </c>
      <c r="Q349" s="21">
        <v>1.8831668180029943</v>
      </c>
      <c r="R349" s="21">
        <v>1.4405636825620367</v>
      </c>
      <c r="S349" s="21">
        <v>1.1574991391974823</v>
      </c>
    </row>
    <row r="350" spans="2:22" ht="17" thickBot="1" x14ac:dyDescent="0.25">
      <c r="B350" s="8" t="s">
        <v>519</v>
      </c>
      <c r="C350" s="22">
        <v>12.469996139735938</v>
      </c>
      <c r="D350" s="22">
        <v>23.698021573431276</v>
      </c>
      <c r="E350" s="22">
        <v>33.725133104985943</v>
      </c>
      <c r="F350" s="22">
        <v>42.828292431811043</v>
      </c>
      <c r="G350" s="22">
        <v>51.365964967187395</v>
      </c>
      <c r="H350" s="22">
        <v>59.302527050730646</v>
      </c>
      <c r="I350" s="22">
        <v>66.842811364854015</v>
      </c>
      <c r="J350" s="22">
        <v>72.811283014850858</v>
      </c>
      <c r="K350" s="22">
        <v>78.446786845572689</v>
      </c>
      <c r="L350" s="22">
        <v>83.11915451344305</v>
      </c>
      <c r="M350" s="22">
        <v>87.739632985062784</v>
      </c>
      <c r="N350" s="22">
        <v>90.78666442635901</v>
      </c>
      <c r="O350" s="22">
        <v>93.252010855067851</v>
      </c>
      <c r="P350" s="22">
        <v>95.518770360237497</v>
      </c>
      <c r="Q350" s="22">
        <v>97.401937178240487</v>
      </c>
      <c r="R350" s="22">
        <v>98.842500860802531</v>
      </c>
      <c r="S350" s="22">
        <v>100.00000000000001</v>
      </c>
    </row>
    <row r="368" spans="6:6" x14ac:dyDescent="0.2">
      <c r="F368" t="s">
        <v>520</v>
      </c>
    </row>
    <row r="371" spans="2:19" x14ac:dyDescent="0.2">
      <c r="B371" s="3" t="s">
        <v>539</v>
      </c>
    </row>
    <row r="372" spans="2:19" ht="17" thickBot="1" x14ac:dyDescent="0.25"/>
    <row r="373" spans="2:19" ht="17" x14ac:dyDescent="0.2">
      <c r="B373" s="5"/>
      <c r="C373" s="6" t="s">
        <v>514</v>
      </c>
      <c r="D373" s="6" t="s">
        <v>515</v>
      </c>
      <c r="E373" s="6" t="s">
        <v>516</v>
      </c>
      <c r="F373" s="6" t="s">
        <v>524</v>
      </c>
      <c r="G373" s="6" t="s">
        <v>525</v>
      </c>
      <c r="H373" s="6" t="s">
        <v>526</v>
      </c>
      <c r="I373" s="6" t="s">
        <v>527</v>
      </c>
      <c r="J373" s="6" t="s">
        <v>528</v>
      </c>
      <c r="K373" s="6" t="s">
        <v>529</v>
      </c>
      <c r="L373" s="6" t="s">
        <v>530</v>
      </c>
      <c r="M373" s="6" t="s">
        <v>531</v>
      </c>
      <c r="N373" s="6" t="s">
        <v>532</v>
      </c>
      <c r="O373" s="6" t="s">
        <v>533</v>
      </c>
      <c r="P373" s="6" t="s">
        <v>534</v>
      </c>
      <c r="Q373" s="6" t="s">
        <v>535</v>
      </c>
      <c r="R373" s="6" t="s">
        <v>536</v>
      </c>
      <c r="S373" s="6" t="s">
        <v>537</v>
      </c>
    </row>
    <row r="374" spans="2:19" x14ac:dyDescent="0.2">
      <c r="B374" s="7" t="s">
        <v>3</v>
      </c>
      <c r="C374" s="20">
        <v>0.91743816160597458</v>
      </c>
      <c r="D374" s="20">
        <v>0.14619213691523608</v>
      </c>
      <c r="E374" s="20">
        <v>-0.4729681059647865</v>
      </c>
      <c r="F374" s="20">
        <v>-0.33840594241923039</v>
      </c>
      <c r="G374" s="20">
        <v>-0.32680411605795323</v>
      </c>
      <c r="H374" s="20">
        <v>-0.83198520304710655</v>
      </c>
      <c r="I374" s="20">
        <v>1.1445387448607186E-2</v>
      </c>
      <c r="J374" s="20">
        <v>-0.41005292969314133</v>
      </c>
      <c r="K374" s="20">
        <v>0.10038492775045439</v>
      </c>
      <c r="L374" s="20">
        <v>0.37518267483301632</v>
      </c>
      <c r="M374" s="20">
        <v>-6.7406586189743947E-2</v>
      </c>
      <c r="N374" s="20">
        <v>-0.46769101066483465</v>
      </c>
      <c r="O374" s="20">
        <v>0.26788850100941114</v>
      </c>
      <c r="P374" s="20">
        <v>0.10501413612715656</v>
      </c>
      <c r="Q374" s="20">
        <v>0.16731273064716531</v>
      </c>
      <c r="R374" s="20">
        <v>-0.15399658010450981</v>
      </c>
      <c r="S374" s="20">
        <v>-9.464521392866275E-2</v>
      </c>
    </row>
    <row r="375" spans="2:19" x14ac:dyDescent="0.2">
      <c r="B375" s="4" t="s">
        <v>4</v>
      </c>
      <c r="C375" s="21">
        <v>0.52317404721632044</v>
      </c>
      <c r="D375" s="21">
        <v>0.88014728487422067</v>
      </c>
      <c r="E375" s="21">
        <v>-0.42696951401066002</v>
      </c>
      <c r="F375" s="21">
        <v>0.39322275951695218</v>
      </c>
      <c r="G375" s="21">
        <v>0.46999011462159079</v>
      </c>
      <c r="H375" s="21">
        <v>-0.52677540318373817</v>
      </c>
      <c r="I375" s="21">
        <v>6.1170396912181957E-2</v>
      </c>
      <c r="J375" s="21">
        <v>-0.63347866781737971</v>
      </c>
      <c r="K375" s="21">
        <v>8.8599492926153697E-2</v>
      </c>
      <c r="L375" s="21">
        <v>-0.72211693831401147</v>
      </c>
      <c r="M375" s="21">
        <v>0.12452765219764914</v>
      </c>
      <c r="N375" s="21">
        <v>0.48640486421203427</v>
      </c>
      <c r="O375" s="21">
        <v>-0.13079598736502471</v>
      </c>
      <c r="P375" s="21">
        <v>-8.6133059847437354E-2</v>
      </c>
      <c r="Q375" s="21">
        <v>6.5965469130522675E-2</v>
      </c>
      <c r="R375" s="21">
        <v>-0.21118314729369156</v>
      </c>
      <c r="S375" s="21">
        <v>0.1539852464624798</v>
      </c>
    </row>
    <row r="376" spans="2:19" x14ac:dyDescent="0.2">
      <c r="B376" s="4" t="s">
        <v>5</v>
      </c>
      <c r="C376" s="21">
        <v>-0.79577259362999764</v>
      </c>
      <c r="D376" s="21">
        <v>-0.30916958397887345</v>
      </c>
      <c r="E376" s="21">
        <v>0.17055568272099875</v>
      </c>
      <c r="F376" s="21">
        <v>0.54202492110824474</v>
      </c>
      <c r="G376" s="21">
        <v>0.41655482286041901</v>
      </c>
      <c r="H376" s="21">
        <v>-0.44614519577518341</v>
      </c>
      <c r="I376" s="21">
        <v>-0.34178146743023946</v>
      </c>
      <c r="J376" s="21">
        <v>0.59260073821158521</v>
      </c>
      <c r="K376" s="21">
        <v>0.1848567806311156</v>
      </c>
      <c r="L376" s="21">
        <v>0.12243359735073139</v>
      </c>
      <c r="M376" s="21">
        <v>0.67734812900515173</v>
      </c>
      <c r="N376" s="21">
        <v>-0.20163732913799043</v>
      </c>
      <c r="O376" s="21">
        <v>-0.19360288217393593</v>
      </c>
      <c r="P376" s="21">
        <v>8.2302821707000318E-2</v>
      </c>
      <c r="Q376" s="21">
        <v>-7.9608240623261994E-2</v>
      </c>
      <c r="R376" s="21">
        <v>-0.17737465401052976</v>
      </c>
      <c r="S376" s="21">
        <v>0.33368658678931717</v>
      </c>
    </row>
    <row r="377" spans="2:19" x14ac:dyDescent="0.2">
      <c r="B377" s="4" t="s">
        <v>6</v>
      </c>
      <c r="C377" s="21">
        <v>0.75744810589241507</v>
      </c>
      <c r="D377" s="21">
        <v>-0.54295140551899512</v>
      </c>
      <c r="E377" s="21">
        <v>-0.46383883077571142</v>
      </c>
      <c r="F377" s="21">
        <v>-0.65196780483041794</v>
      </c>
      <c r="G377" s="21">
        <v>-0.17141152889207453</v>
      </c>
      <c r="H377" s="21">
        <v>0.40042675057776239</v>
      </c>
      <c r="I377" s="21">
        <v>-0.23973537379886928</v>
      </c>
      <c r="J377" s="21">
        <v>7.4809343216133334E-2</v>
      </c>
      <c r="K377" s="21">
        <v>-0.56574895726889862</v>
      </c>
      <c r="L377" s="21">
        <v>-0.27674518663302794</v>
      </c>
      <c r="M377" s="21">
        <v>0.53400871796771288</v>
      </c>
      <c r="N377" s="21">
        <v>0.16361723250481192</v>
      </c>
      <c r="O377" s="21">
        <v>0.36121321822680891</v>
      </c>
      <c r="P377" s="21">
        <v>-0.17844069773666102</v>
      </c>
      <c r="Q377" s="21">
        <v>-0.28090536767783364</v>
      </c>
      <c r="R377" s="21">
        <v>0.26630214423670828</v>
      </c>
      <c r="S377" s="21">
        <v>0.21960022988251152</v>
      </c>
    </row>
    <row r="378" spans="2:19" x14ac:dyDescent="0.2">
      <c r="B378" s="4" t="s">
        <v>7</v>
      </c>
      <c r="C378" s="21">
        <v>5.1784493837042166E-2</v>
      </c>
      <c r="D378" s="21">
        <v>-0.40368327003903726</v>
      </c>
      <c r="E378" s="21">
        <v>0.35089214967933618</v>
      </c>
      <c r="F378" s="21">
        <v>-0.89769933294346105</v>
      </c>
      <c r="G378" s="21">
        <v>0.21822799406681395</v>
      </c>
      <c r="H378" s="21">
        <v>-0.18033536506198444</v>
      </c>
      <c r="I378" s="21">
        <v>2.4671823712679789E-2</v>
      </c>
      <c r="J378" s="21">
        <v>0.18536183451516333</v>
      </c>
      <c r="K378" s="21">
        <v>0.31614412341714504</v>
      </c>
      <c r="L378" s="21">
        <v>0.55947567768491768</v>
      </c>
      <c r="M378" s="21">
        <v>-0.20071155025783066</v>
      </c>
      <c r="N378" s="21">
        <v>0.58088152419572237</v>
      </c>
      <c r="O378" s="21">
        <v>-0.19000908072888428</v>
      </c>
      <c r="P378" s="21">
        <v>-0.48638624366650213</v>
      </c>
      <c r="Q378" s="21">
        <v>-0.14490108003942889</v>
      </c>
      <c r="R378" s="21">
        <v>-0.25509785966702681</v>
      </c>
      <c r="S378" s="21">
        <v>-9.8446180818442058E-2</v>
      </c>
    </row>
    <row r="379" spans="2:19" x14ac:dyDescent="0.2">
      <c r="B379" s="4" t="s">
        <v>8</v>
      </c>
      <c r="C379" s="21">
        <v>8.0536847799708385E-4</v>
      </c>
      <c r="D379" s="21">
        <v>0.47385503421489544</v>
      </c>
      <c r="E379" s="21">
        <v>-0.59100358750131765</v>
      </c>
      <c r="F379" s="21">
        <v>0.3790730113932248</v>
      </c>
      <c r="G379" s="21">
        <v>-0.32707965781618298</v>
      </c>
      <c r="H379" s="21">
        <v>1.0558411543696131</v>
      </c>
      <c r="I379" s="21">
        <v>-0.27412494278892519</v>
      </c>
      <c r="J379" s="21">
        <v>-0.19454076204568899</v>
      </c>
      <c r="K379" s="21">
        <v>0.96681842687639075</v>
      </c>
      <c r="L379" s="21">
        <v>-2.0572534882353766E-2</v>
      </c>
      <c r="M379" s="21">
        <v>-4.6470657916447319E-2</v>
      </c>
      <c r="N379" s="21">
        <v>-0.30793868416924536</v>
      </c>
      <c r="O379" s="21">
        <v>-8.8194644817473453E-2</v>
      </c>
      <c r="P379" s="21">
        <v>-0.24707509007346459</v>
      </c>
      <c r="Q379" s="21">
        <v>-0.30384249300811444</v>
      </c>
      <c r="R379" s="21">
        <v>-7.0313088424619266E-3</v>
      </c>
      <c r="S379" s="21">
        <v>-4.5016268989511728E-2</v>
      </c>
    </row>
    <row r="380" spans="2:19" x14ac:dyDescent="0.2">
      <c r="B380" s="4" t="s">
        <v>9</v>
      </c>
      <c r="C380" s="21">
        <v>-0.67928809804039814</v>
      </c>
      <c r="D380" s="21">
        <v>0.27401118749451031</v>
      </c>
      <c r="E380" s="21">
        <v>-0.62594513881126523</v>
      </c>
      <c r="F380" s="21">
        <v>-0.43585900413708223</v>
      </c>
      <c r="G380" s="21">
        <v>-0.74786462882142024</v>
      </c>
      <c r="H380" s="21">
        <v>0.43694063624275103</v>
      </c>
      <c r="I380" s="21">
        <v>-0.57230919416052917</v>
      </c>
      <c r="J380" s="21">
        <v>2.646936556003433E-2</v>
      </c>
      <c r="K380" s="21">
        <v>-4.5373627447100821E-2</v>
      </c>
      <c r="L380" s="21">
        <v>0.34376723008456733</v>
      </c>
      <c r="M380" s="21">
        <v>0.22025915524560821</v>
      </c>
      <c r="N380" s="21">
        <v>0.29303119700142805</v>
      </c>
      <c r="O380" s="21">
        <v>3.8811634310114661E-2</v>
      </c>
      <c r="P380" s="21">
        <v>0.2772543361487006</v>
      </c>
      <c r="Q380" s="21">
        <v>0.51222453102651755</v>
      </c>
      <c r="R380" s="21">
        <v>-0.12954019362635669</v>
      </c>
      <c r="S380" s="21">
        <v>6.768881715415985E-2</v>
      </c>
    </row>
    <row r="381" spans="2:19" x14ac:dyDescent="0.2">
      <c r="B381" s="4" t="s">
        <v>10</v>
      </c>
      <c r="C381" s="21">
        <v>0.83985651662273719</v>
      </c>
      <c r="D381" s="21">
        <v>-0.5247766051440681</v>
      </c>
      <c r="E381" s="21">
        <v>0.92561898196362069</v>
      </c>
      <c r="F381" s="21">
        <v>0.5039660875214822</v>
      </c>
      <c r="G381" s="21">
        <v>-0.28296198145752832</v>
      </c>
      <c r="H381" s="21">
        <v>-9.8166637045520489E-4</v>
      </c>
      <c r="I381" s="21">
        <v>-0.19619962330601767</v>
      </c>
      <c r="J381" s="21">
        <v>1.1374765746434805E-2</v>
      </c>
      <c r="K381" s="21">
        <v>-4.1213945639176942E-2</v>
      </c>
      <c r="L381" s="21">
        <v>-4.2712987648546662E-2</v>
      </c>
      <c r="M381" s="21">
        <v>0.32841255754807003</v>
      </c>
      <c r="N381" s="21">
        <v>-0.38889357145564823</v>
      </c>
      <c r="O381" s="21">
        <v>1.5211495659965893E-2</v>
      </c>
      <c r="P381" s="21">
        <v>-0.40843818539763649</v>
      </c>
      <c r="Q381" s="21">
        <v>0.31440285575445626</v>
      </c>
      <c r="R381" s="21">
        <v>-8.9895894211538568E-2</v>
      </c>
      <c r="S381" s="21">
        <v>-5.7891493766937883E-2</v>
      </c>
    </row>
    <row r="382" spans="2:19" x14ac:dyDescent="0.2">
      <c r="B382" s="4" t="s">
        <v>11</v>
      </c>
      <c r="C382" s="21">
        <v>-0.57486306536229437</v>
      </c>
      <c r="D382" s="21">
        <v>-0.59686703265253993</v>
      </c>
      <c r="E382" s="21">
        <v>-0.62338045789785324</v>
      </c>
      <c r="F382" s="21">
        <v>-0.41382019867103548</v>
      </c>
      <c r="G382" s="21">
        <v>6.6136529594881727E-2</v>
      </c>
      <c r="H382" s="21">
        <v>-0.16013874254779711</v>
      </c>
      <c r="I382" s="21">
        <v>0.79678127356800399</v>
      </c>
      <c r="J382" s="21">
        <v>-0.25177770578416248</v>
      </c>
      <c r="K382" s="21">
        <v>-0.23672860238507279</v>
      </c>
      <c r="L382" s="21">
        <v>-5.3979267655137005E-2</v>
      </c>
      <c r="M382" s="21">
        <v>0.18265333175194876</v>
      </c>
      <c r="N382" s="21">
        <v>-0.36222687101226708</v>
      </c>
      <c r="O382" s="21">
        <v>-0.11048533573443538</v>
      </c>
      <c r="P382" s="21">
        <v>0.21869868243056614</v>
      </c>
      <c r="Q382" s="21">
        <v>-0.3492559547248042</v>
      </c>
      <c r="R382" s="21">
        <v>-0.25001642375108413</v>
      </c>
      <c r="S382" s="21">
        <v>-0.12139038229707476</v>
      </c>
    </row>
    <row r="383" spans="2:19" x14ac:dyDescent="0.2">
      <c r="B383" s="4" t="s">
        <v>12</v>
      </c>
      <c r="C383" s="21">
        <v>1.2213521995291166</v>
      </c>
      <c r="D383" s="21">
        <v>-0.23862030396794007</v>
      </c>
      <c r="E383" s="21">
        <v>4.268412081604582E-2</v>
      </c>
      <c r="F383" s="21">
        <v>-0.17905234696987068</v>
      </c>
      <c r="G383" s="21">
        <v>-0.12298301465929977</v>
      </c>
      <c r="H383" s="21">
        <v>6.9351590076552463E-2</v>
      </c>
      <c r="I383" s="21">
        <v>0.14383678447054468</v>
      </c>
      <c r="J383" s="21">
        <v>0.92965809080170736</v>
      </c>
      <c r="K383" s="21">
        <v>0.38133151840992696</v>
      </c>
      <c r="L383" s="21">
        <v>-0.32622090218206429</v>
      </c>
      <c r="M383" s="21">
        <v>-0.38923712700852126</v>
      </c>
      <c r="N383" s="21">
        <v>7.2015778313809245E-2</v>
      </c>
      <c r="O383" s="21">
        <v>-0.29241625530004517</v>
      </c>
      <c r="P383" s="21">
        <v>0.52364010686369822</v>
      </c>
      <c r="Q383" s="21">
        <v>3.9619675852354879E-3</v>
      </c>
      <c r="R383" s="21">
        <v>2.7851309976957419E-2</v>
      </c>
      <c r="S383" s="21">
        <v>2.412202852363279E-2</v>
      </c>
    </row>
    <row r="384" spans="2:19" x14ac:dyDescent="0.2">
      <c r="B384" s="4" t="s">
        <v>13</v>
      </c>
      <c r="C384" s="21">
        <v>-0.27746952858424989</v>
      </c>
      <c r="D384" s="21">
        <v>-0.81748805609355835</v>
      </c>
      <c r="E384" s="21">
        <v>2.0786227463360667E-2</v>
      </c>
      <c r="F384" s="21">
        <v>-0.12016792955047541</v>
      </c>
      <c r="G384" s="21">
        <v>0.58322310316689563</v>
      </c>
      <c r="H384" s="21">
        <v>0.32791777328772914</v>
      </c>
      <c r="I384" s="21">
        <v>-0.79434819026720371</v>
      </c>
      <c r="J384" s="21">
        <v>-0.50661074375556869</v>
      </c>
      <c r="K384" s="21">
        <v>-0.39722237904989438</v>
      </c>
      <c r="L384" s="21">
        <v>-0.38415484253302218</v>
      </c>
      <c r="M384" s="21">
        <v>-0.20659059676221303</v>
      </c>
      <c r="N384" s="21">
        <v>-9.1886716448119451E-2</v>
      </c>
      <c r="O384" s="21">
        <v>-0.46331265370369834</v>
      </c>
      <c r="P384" s="21">
        <v>9.0894478025391093E-2</v>
      </c>
      <c r="Q384" s="21">
        <v>0.15658216808168732</v>
      </c>
      <c r="R384" s="21">
        <v>9.0390231740293717E-2</v>
      </c>
      <c r="S384" s="21">
        <v>-0.2542173213700758</v>
      </c>
    </row>
    <row r="385" spans="2:19" x14ac:dyDescent="0.2">
      <c r="B385" s="4" t="s">
        <v>14</v>
      </c>
      <c r="C385" s="21">
        <v>6.1878277925393145E-3</v>
      </c>
      <c r="D385" s="21">
        <v>1.3252401030264853</v>
      </c>
      <c r="E385" s="21">
        <v>1.9614748092600183E-3</v>
      </c>
      <c r="F385" s="21">
        <v>-0.21273918823585952</v>
      </c>
      <c r="G385" s="21">
        <v>0.50578381928667437</v>
      </c>
      <c r="H385" s="21">
        <v>-0.4852471438332287</v>
      </c>
      <c r="I385" s="21">
        <v>-0.41855170327676489</v>
      </c>
      <c r="J385" s="21">
        <v>0.32940132282744772</v>
      </c>
      <c r="K385" s="21">
        <v>-0.1976495181100151</v>
      </c>
      <c r="L385" s="21">
        <v>0.37374187735469849</v>
      </c>
      <c r="M385" s="21">
        <v>0.27068879188811534</v>
      </c>
      <c r="N385" s="21">
        <v>-0.13093717759711948</v>
      </c>
      <c r="O385" s="21">
        <v>-0.14115696289576463</v>
      </c>
      <c r="P385" s="21">
        <v>2.6178214502890363E-3</v>
      </c>
      <c r="Q385" s="21">
        <v>-0.15181064973759806</v>
      </c>
      <c r="R385" s="21">
        <v>0.38154017896181608</v>
      </c>
      <c r="S385" s="21">
        <v>-0.24224636316435519</v>
      </c>
    </row>
    <row r="386" spans="2:19" x14ac:dyDescent="0.2">
      <c r="B386" s="4" t="s">
        <v>15</v>
      </c>
      <c r="C386" s="21">
        <v>-0.4359249877308165</v>
      </c>
      <c r="D386" s="21">
        <v>-0.47665663195222407</v>
      </c>
      <c r="E386" s="21">
        <v>0.18196842726398754</v>
      </c>
      <c r="F386" s="21">
        <v>0.25337372498922256</v>
      </c>
      <c r="G386" s="21">
        <v>-0.7296725016828951</v>
      </c>
      <c r="H386" s="21">
        <v>-0.73653734312839925</v>
      </c>
      <c r="I386" s="21">
        <v>-0.15584286469764269</v>
      </c>
      <c r="J386" s="21">
        <v>-0.51194565939882408</v>
      </c>
      <c r="K386" s="21">
        <v>0.17180704037155115</v>
      </c>
      <c r="L386" s="21">
        <v>0.18679397365518161</v>
      </c>
      <c r="M386" s="21">
        <v>-0.59400681680893908</v>
      </c>
      <c r="N386" s="21">
        <v>5.4533813632863741E-2</v>
      </c>
      <c r="O386" s="21">
        <v>-0.14151500611128762</v>
      </c>
      <c r="P386" s="21">
        <v>3.2430055975742346E-3</v>
      </c>
      <c r="Q386" s="21">
        <v>-0.14889304609244733</v>
      </c>
      <c r="R386" s="21">
        <v>0.38158473587195141</v>
      </c>
      <c r="S386" s="21">
        <v>0.29067406351107644</v>
      </c>
    </row>
    <row r="387" spans="2:19" x14ac:dyDescent="0.2">
      <c r="B387" s="4" t="s">
        <v>16</v>
      </c>
      <c r="C387" s="21">
        <v>-0.4394892533055218</v>
      </c>
      <c r="D387" s="21">
        <v>0.48027496922522717</v>
      </c>
      <c r="E387" s="21">
        <v>1.0527462105437169</v>
      </c>
      <c r="F387" s="21">
        <v>-0.12491751017012266</v>
      </c>
      <c r="G387" s="21">
        <v>-3.5407076960945881E-2</v>
      </c>
      <c r="H387" s="21">
        <v>0.10558681145907736</v>
      </c>
      <c r="I387" s="21">
        <v>-0.63668001606760405</v>
      </c>
      <c r="J387" s="21">
        <v>1.0285709855143994E-2</v>
      </c>
      <c r="K387" s="21">
        <v>-0.19723468248427914</v>
      </c>
      <c r="L387" s="21">
        <v>-0.30423479755439314</v>
      </c>
      <c r="M387" s="21">
        <v>-0.45079821885628002</v>
      </c>
      <c r="N387" s="21">
        <v>-3.7772202072323353E-2</v>
      </c>
      <c r="O387" s="21">
        <v>0.55228493560476721</v>
      </c>
      <c r="P387" s="21">
        <v>0.22675615272014601</v>
      </c>
      <c r="Q387" s="21">
        <v>-0.29339300399496443</v>
      </c>
      <c r="R387" s="21">
        <v>-0.27677742656651749</v>
      </c>
      <c r="S387" s="21">
        <v>-1.9441187927130767E-2</v>
      </c>
    </row>
    <row r="388" spans="2:19" x14ac:dyDescent="0.2">
      <c r="B388" s="4" t="s">
        <v>17</v>
      </c>
      <c r="C388" s="21">
        <v>0.5584748807275326</v>
      </c>
      <c r="D388" s="21">
        <v>0.1303375924665488</v>
      </c>
      <c r="E388" s="21">
        <v>0.22356402784078908</v>
      </c>
      <c r="F388" s="21">
        <v>1.0569704905907091</v>
      </c>
      <c r="G388" s="21">
        <v>8.8894213650379458E-2</v>
      </c>
      <c r="H388" s="21">
        <v>0.64932708322275712</v>
      </c>
      <c r="I388" s="21">
        <v>0.45225492663423322</v>
      </c>
      <c r="J388" s="21">
        <v>-0.27261872367277784</v>
      </c>
      <c r="K388" s="21">
        <v>-0.65928261812786104</v>
      </c>
      <c r="L388" s="21">
        <v>0.77579760643930673</v>
      </c>
      <c r="M388" s="21">
        <v>-4.2897307805754181E-2</v>
      </c>
      <c r="N388" s="21">
        <v>0.26921726476704982</v>
      </c>
      <c r="O388" s="21">
        <v>-8.4724701128578606E-2</v>
      </c>
      <c r="P388" s="21">
        <v>0.22597725912597311</v>
      </c>
      <c r="Q388" s="21">
        <v>-0.128691528182381</v>
      </c>
      <c r="R388" s="21">
        <v>-5.8800331492627832E-2</v>
      </c>
      <c r="S388" s="21">
        <v>1.6799687539838716E-2</v>
      </c>
    </row>
    <row r="389" spans="2:19" x14ac:dyDescent="0.2">
      <c r="B389" s="4" t="s">
        <v>18</v>
      </c>
      <c r="C389" s="21">
        <v>-0.47487918066768442</v>
      </c>
      <c r="D389" s="21">
        <v>-2.2122900472974452E-2</v>
      </c>
      <c r="E389" s="21">
        <v>0.86290689456249714</v>
      </c>
      <c r="F389" s="21">
        <v>-5.384703973854621E-2</v>
      </c>
      <c r="G389" s="21">
        <v>-0.48508268904009966</v>
      </c>
      <c r="H389" s="21">
        <v>-1.9542448834506251E-3</v>
      </c>
      <c r="I389" s="21">
        <v>0.76659889728386188</v>
      </c>
      <c r="J389" s="21">
        <v>-0.24910659662940493</v>
      </c>
      <c r="K389" s="21">
        <v>0.46956414949338748</v>
      </c>
      <c r="L389" s="21">
        <v>-0.29417862573180842</v>
      </c>
      <c r="M389" s="21">
        <v>0.63195572536813538</v>
      </c>
      <c r="N389" s="21">
        <v>0.29493116161089938</v>
      </c>
      <c r="O389" s="21">
        <v>0.10114464760803926</v>
      </c>
      <c r="P389" s="21">
        <v>0.1941504841239966</v>
      </c>
      <c r="Q389" s="21">
        <v>6.9078989220036857E-2</v>
      </c>
      <c r="R389" s="21">
        <v>0.2219410636710574</v>
      </c>
      <c r="S389" s="21">
        <v>-0.25252445392853251</v>
      </c>
    </row>
    <row r="390" spans="2:19" x14ac:dyDescent="0.2">
      <c r="B390" s="4" t="s">
        <v>19</v>
      </c>
      <c r="C390" s="21">
        <v>-0.22645453216216191</v>
      </c>
      <c r="D390" s="21">
        <v>-0.50152257443297754</v>
      </c>
      <c r="E390" s="21">
        <v>-0.28199742595981436</v>
      </c>
      <c r="F390" s="21">
        <v>0.14485576281641954</v>
      </c>
      <c r="G390" s="21">
        <v>1.3161378127571721</v>
      </c>
      <c r="H390" s="21">
        <v>0.18278332923342233</v>
      </c>
      <c r="I390" s="21">
        <v>0.30570617358060242</v>
      </c>
      <c r="J390" s="21">
        <v>5.0225754408088604E-3</v>
      </c>
      <c r="K390" s="21">
        <v>0.47947235171815389</v>
      </c>
      <c r="L390" s="21">
        <v>0.18484807208786616</v>
      </c>
      <c r="M390" s="21">
        <v>-0.27260337078228092</v>
      </c>
      <c r="N390" s="21">
        <v>8.0268767341314107E-3</v>
      </c>
      <c r="O390" s="21">
        <v>0.54732693334514004</v>
      </c>
      <c r="P390" s="21">
        <v>4.0318062504165184E-2</v>
      </c>
      <c r="Q390" s="21">
        <v>0.27754505693614023</v>
      </c>
      <c r="R390" s="21">
        <v>0.19293581553395767</v>
      </c>
      <c r="S390" s="21">
        <v>5.3212783192468249E-2</v>
      </c>
    </row>
    <row r="391" spans="2:19" x14ac:dyDescent="0.2">
      <c r="B391" s="4" t="s">
        <v>20</v>
      </c>
      <c r="C391" s="21">
        <v>-0.38850591439714377</v>
      </c>
      <c r="D391" s="21">
        <v>0.82076971956922096</v>
      </c>
      <c r="E391" s="21">
        <v>0.40669243539249272</v>
      </c>
      <c r="F391" s="21">
        <v>-0.67304388562458717</v>
      </c>
      <c r="G391" s="21">
        <v>5.5221509893223004E-2</v>
      </c>
      <c r="H391" s="21">
        <v>0.46033538423207127</v>
      </c>
      <c r="I391" s="21">
        <v>0.8323509982237155</v>
      </c>
      <c r="J391" s="21">
        <v>0.10395719102343594</v>
      </c>
      <c r="K391" s="21">
        <v>-0.39384296877478681</v>
      </c>
      <c r="L391" s="21">
        <v>-0.17441745341416454</v>
      </c>
      <c r="M391" s="21">
        <v>-0.33827547584917278</v>
      </c>
      <c r="N391" s="21">
        <v>-0.37143219550410012</v>
      </c>
      <c r="O391" s="21">
        <v>-0.22043027981004315</v>
      </c>
      <c r="P391" s="21">
        <v>-0.24321066731918717</v>
      </c>
      <c r="Q391" s="21">
        <v>0.25067133745878611</v>
      </c>
      <c r="R391" s="21">
        <v>4.4906475237500409E-2</v>
      </c>
      <c r="S391" s="21">
        <v>0.27154801580103488</v>
      </c>
    </row>
    <row r="392" spans="2:19" ht="17" thickBot="1" x14ac:dyDescent="0.25">
      <c r="B392" s="8" t="s">
        <v>21</v>
      </c>
      <c r="C392" s="22">
        <v>-0.58387444782140241</v>
      </c>
      <c r="D392" s="22">
        <v>-9.6969663533151701E-2</v>
      </c>
      <c r="E392" s="22">
        <v>-0.75427357213469814</v>
      </c>
      <c r="F392" s="22">
        <v>0.82803342535443047</v>
      </c>
      <c r="G392" s="22">
        <v>-0.49090272450964734</v>
      </c>
      <c r="H392" s="22">
        <v>-0.31841020487038885</v>
      </c>
      <c r="I392" s="22">
        <v>0.23475671395936554</v>
      </c>
      <c r="J392" s="22">
        <v>0.76119085159905453</v>
      </c>
      <c r="K392" s="22">
        <v>-0.42468151230719597</v>
      </c>
      <c r="L392" s="22">
        <v>-0.32270717294175216</v>
      </c>
      <c r="M392" s="22">
        <v>-0.36085635273521466</v>
      </c>
      <c r="N392" s="22">
        <v>0.13775604508889383</v>
      </c>
      <c r="O392" s="22">
        <v>0.17276242400493208</v>
      </c>
      <c r="P392" s="22">
        <v>-0.34118340278376269</v>
      </c>
      <c r="Q392" s="22">
        <v>6.3556258240298591E-2</v>
      </c>
      <c r="R392" s="22">
        <v>2.2618643361043086E-3</v>
      </c>
      <c r="S392" s="22">
        <v>-0.24549859266579535</v>
      </c>
    </row>
    <row r="410" spans="6:6" x14ac:dyDescent="0.2">
      <c r="F410" t="s">
        <v>520</v>
      </c>
    </row>
  </sheetData>
  <mergeCells count="1">
    <mergeCell ref="B271:J272"/>
  </mergeCells>
  <conditionalFormatting sqref="C16:C34">
    <cfRule type="cellIs" dxfId="3" priority="1" operator="lessThan">
      <formula>0.05</formula>
    </cfRule>
  </conditionalFormatting>
  <pageMargins left="0.7" right="0.7" top="0.75" bottom="0.75" header="0.3" footer="0.3"/>
  <ignoredErrors>
    <ignoredError sqref="B254:B258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577851">
              <controlPr defaultSize="0" autoFill="0" autoPict="0" macro="[0]!GoToResultsNew2020111110440412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E8D31-F7EB-B84C-8807-D158959246AC}">
  <sheetPr codeName="Sheet3"/>
  <dimension ref="A1:G553"/>
  <sheetViews>
    <sheetView workbookViewId="0">
      <selection activeCell="M12" sqref="M12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D1" t="s">
        <v>23</v>
      </c>
      <c r="E1" t="s">
        <v>24</v>
      </c>
      <c r="F1" t="s">
        <v>25</v>
      </c>
      <c r="G1" t="s">
        <v>26</v>
      </c>
    </row>
    <row r="2" spans="1:7" x14ac:dyDescent="0.2">
      <c r="A2">
        <v>1</v>
      </c>
      <c r="B2" t="s">
        <v>139</v>
      </c>
      <c r="C2" t="s">
        <v>140</v>
      </c>
      <c r="D2">
        <v>0</v>
      </c>
      <c r="E2">
        <v>0</v>
      </c>
      <c r="F2">
        <v>0</v>
      </c>
      <c r="G2">
        <v>0</v>
      </c>
    </row>
    <row r="3" spans="1:7" x14ac:dyDescent="0.2">
      <c r="A3">
        <v>1</v>
      </c>
      <c r="B3">
        <v>117.17</v>
      </c>
      <c r="C3" t="s">
        <v>141</v>
      </c>
      <c r="D3">
        <v>1</v>
      </c>
      <c r="E3">
        <v>0</v>
      </c>
      <c r="F3">
        <v>0</v>
      </c>
      <c r="G3">
        <v>0</v>
      </c>
    </row>
    <row r="4" spans="1:7" x14ac:dyDescent="0.2">
      <c r="A4">
        <v>1</v>
      </c>
      <c r="B4">
        <v>120.14</v>
      </c>
      <c r="C4" t="s">
        <v>142</v>
      </c>
      <c r="D4">
        <v>0</v>
      </c>
      <c r="E4">
        <v>1</v>
      </c>
      <c r="F4">
        <v>0</v>
      </c>
      <c r="G4">
        <v>0</v>
      </c>
    </row>
    <row r="5" spans="1:7" x14ac:dyDescent="0.2">
      <c r="A5">
        <v>1</v>
      </c>
      <c r="B5">
        <v>120.17</v>
      </c>
      <c r="C5" t="s">
        <v>143</v>
      </c>
      <c r="D5">
        <v>0</v>
      </c>
      <c r="E5">
        <v>0</v>
      </c>
      <c r="F5">
        <v>0</v>
      </c>
      <c r="G5">
        <v>0</v>
      </c>
    </row>
    <row r="6" spans="1:7" x14ac:dyDescent="0.2">
      <c r="A6">
        <v>3</v>
      </c>
      <c r="B6">
        <v>120.17</v>
      </c>
      <c r="C6" t="s">
        <v>144</v>
      </c>
      <c r="D6">
        <v>1</v>
      </c>
      <c r="E6">
        <v>0</v>
      </c>
      <c r="F6">
        <v>0</v>
      </c>
      <c r="G6">
        <v>0</v>
      </c>
    </row>
    <row r="7" spans="1:7" x14ac:dyDescent="0.2">
      <c r="A7">
        <v>3</v>
      </c>
      <c r="B7">
        <v>120.14</v>
      </c>
      <c r="C7" t="s">
        <v>145</v>
      </c>
      <c r="D7">
        <v>0</v>
      </c>
      <c r="E7">
        <v>0</v>
      </c>
      <c r="F7">
        <v>0</v>
      </c>
      <c r="G7">
        <v>0</v>
      </c>
    </row>
    <row r="8" spans="1:7" x14ac:dyDescent="0.2">
      <c r="A8">
        <v>3</v>
      </c>
      <c r="B8">
        <v>117.17</v>
      </c>
      <c r="C8" t="s">
        <v>146</v>
      </c>
      <c r="D8">
        <v>1</v>
      </c>
      <c r="E8">
        <v>0</v>
      </c>
      <c r="F8">
        <v>0</v>
      </c>
      <c r="G8">
        <v>0</v>
      </c>
    </row>
    <row r="9" spans="1:7" x14ac:dyDescent="0.2">
      <c r="A9">
        <v>3</v>
      </c>
      <c r="B9" t="s">
        <v>139</v>
      </c>
      <c r="C9" t="s">
        <v>147</v>
      </c>
      <c r="D9">
        <v>1</v>
      </c>
      <c r="E9">
        <v>0</v>
      </c>
      <c r="F9">
        <v>0</v>
      </c>
      <c r="G9">
        <v>0</v>
      </c>
    </row>
    <row r="10" spans="1:7" x14ac:dyDescent="0.2">
      <c r="A10">
        <v>4</v>
      </c>
      <c r="B10">
        <v>117.17</v>
      </c>
      <c r="C10" t="s">
        <v>148</v>
      </c>
      <c r="D10">
        <v>0</v>
      </c>
      <c r="E10">
        <v>0</v>
      </c>
      <c r="F10">
        <v>0</v>
      </c>
      <c r="G10">
        <v>0</v>
      </c>
    </row>
    <row r="11" spans="1:7" x14ac:dyDescent="0.2">
      <c r="A11">
        <v>4</v>
      </c>
      <c r="B11">
        <v>120.17</v>
      </c>
      <c r="C11" t="s">
        <v>149</v>
      </c>
      <c r="D11">
        <v>0</v>
      </c>
      <c r="E11">
        <v>0</v>
      </c>
      <c r="F11">
        <v>0</v>
      </c>
      <c r="G11">
        <v>0</v>
      </c>
    </row>
    <row r="12" spans="1:7" x14ac:dyDescent="0.2">
      <c r="A12">
        <v>4</v>
      </c>
      <c r="B12" t="s">
        <v>139</v>
      </c>
      <c r="C12" t="s">
        <v>150</v>
      </c>
      <c r="D12">
        <v>0</v>
      </c>
      <c r="E12">
        <v>0</v>
      </c>
      <c r="F12">
        <v>0</v>
      </c>
      <c r="G12">
        <v>0</v>
      </c>
    </row>
    <row r="13" spans="1:7" x14ac:dyDescent="0.2">
      <c r="A13">
        <v>4</v>
      </c>
      <c r="B13">
        <v>120.14</v>
      </c>
      <c r="C13" t="s">
        <v>151</v>
      </c>
      <c r="D13">
        <v>1</v>
      </c>
      <c r="E13">
        <v>0</v>
      </c>
      <c r="F13">
        <v>0</v>
      </c>
      <c r="G13">
        <v>0</v>
      </c>
    </row>
    <row r="14" spans="1:7" x14ac:dyDescent="0.2">
      <c r="A14">
        <v>5</v>
      </c>
      <c r="B14" t="s">
        <v>139</v>
      </c>
      <c r="C14" t="s">
        <v>152</v>
      </c>
      <c r="D14">
        <v>0</v>
      </c>
      <c r="E14">
        <v>0</v>
      </c>
      <c r="F14">
        <v>0</v>
      </c>
      <c r="G14">
        <v>0</v>
      </c>
    </row>
    <row r="15" spans="1:7" x14ac:dyDescent="0.2">
      <c r="A15">
        <v>5</v>
      </c>
      <c r="B15">
        <v>117.17</v>
      </c>
      <c r="C15" t="s">
        <v>153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5</v>
      </c>
      <c r="B16">
        <v>120.14</v>
      </c>
      <c r="C16" t="s">
        <v>154</v>
      </c>
      <c r="D16">
        <v>0</v>
      </c>
      <c r="E16">
        <v>0</v>
      </c>
      <c r="F16">
        <v>0</v>
      </c>
      <c r="G16">
        <v>1</v>
      </c>
    </row>
    <row r="17" spans="1:7" x14ac:dyDescent="0.2">
      <c r="A17">
        <v>5</v>
      </c>
      <c r="B17">
        <v>120.17</v>
      </c>
      <c r="C17" t="s">
        <v>155</v>
      </c>
      <c r="D17">
        <v>0</v>
      </c>
      <c r="E17">
        <v>0</v>
      </c>
      <c r="F17">
        <v>0</v>
      </c>
      <c r="G17">
        <v>0</v>
      </c>
    </row>
    <row r="18" spans="1:7" x14ac:dyDescent="0.2">
      <c r="A18">
        <v>6</v>
      </c>
      <c r="B18">
        <v>120.14</v>
      </c>
      <c r="C18" t="s">
        <v>156</v>
      </c>
      <c r="D18">
        <v>0</v>
      </c>
      <c r="E18">
        <v>0</v>
      </c>
      <c r="F18">
        <v>0</v>
      </c>
      <c r="G18">
        <v>0</v>
      </c>
    </row>
    <row r="19" spans="1:7" x14ac:dyDescent="0.2">
      <c r="A19">
        <v>6</v>
      </c>
      <c r="B19" t="s">
        <v>139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">
      <c r="A20">
        <v>6</v>
      </c>
      <c r="B20">
        <v>120.17</v>
      </c>
      <c r="C20" t="s">
        <v>157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6</v>
      </c>
      <c r="B21">
        <v>117.17</v>
      </c>
      <c r="C21" t="s">
        <v>158</v>
      </c>
      <c r="D21">
        <v>0</v>
      </c>
      <c r="E21">
        <v>1</v>
      </c>
      <c r="F21">
        <v>0</v>
      </c>
      <c r="G21">
        <v>0</v>
      </c>
    </row>
    <row r="22" spans="1:7" x14ac:dyDescent="0.2">
      <c r="A22">
        <v>7</v>
      </c>
      <c r="B22">
        <v>120.17</v>
      </c>
      <c r="C22" t="s">
        <v>159</v>
      </c>
      <c r="D22">
        <v>0</v>
      </c>
      <c r="E22">
        <v>1</v>
      </c>
      <c r="F22">
        <v>0</v>
      </c>
      <c r="G22">
        <v>0</v>
      </c>
    </row>
    <row r="23" spans="1:7" x14ac:dyDescent="0.2">
      <c r="A23">
        <v>7</v>
      </c>
      <c r="B23">
        <v>120.14</v>
      </c>
      <c r="C23" t="s">
        <v>160</v>
      </c>
      <c r="D23">
        <v>0</v>
      </c>
      <c r="E23">
        <v>1</v>
      </c>
      <c r="F23">
        <v>0</v>
      </c>
      <c r="G23">
        <v>0</v>
      </c>
    </row>
    <row r="24" spans="1:7" x14ac:dyDescent="0.2">
      <c r="A24">
        <v>7</v>
      </c>
      <c r="B24">
        <v>117.17</v>
      </c>
      <c r="C24" t="s">
        <v>161</v>
      </c>
      <c r="D24">
        <v>0</v>
      </c>
      <c r="E24">
        <v>0</v>
      </c>
      <c r="F24">
        <v>0</v>
      </c>
      <c r="G24">
        <v>0</v>
      </c>
    </row>
    <row r="25" spans="1:7" x14ac:dyDescent="0.2">
      <c r="A25">
        <v>7</v>
      </c>
      <c r="B25" t="s">
        <v>139</v>
      </c>
      <c r="C25" t="s">
        <v>162</v>
      </c>
      <c r="D25">
        <v>0</v>
      </c>
      <c r="E25">
        <v>1</v>
      </c>
      <c r="F25">
        <v>0</v>
      </c>
      <c r="G25">
        <v>0</v>
      </c>
    </row>
    <row r="26" spans="1:7" x14ac:dyDescent="0.2">
      <c r="A26">
        <v>8</v>
      </c>
      <c r="B26">
        <v>117.17</v>
      </c>
      <c r="C26" t="s">
        <v>163</v>
      </c>
      <c r="D26">
        <v>0</v>
      </c>
      <c r="E26">
        <v>0</v>
      </c>
      <c r="F26">
        <v>0</v>
      </c>
      <c r="G26">
        <v>0</v>
      </c>
    </row>
    <row r="27" spans="1:7" x14ac:dyDescent="0.2">
      <c r="A27">
        <v>8</v>
      </c>
      <c r="B27">
        <v>120.17</v>
      </c>
      <c r="C27" t="s">
        <v>163</v>
      </c>
      <c r="D27">
        <v>0</v>
      </c>
      <c r="E27">
        <v>0</v>
      </c>
      <c r="F27">
        <v>0</v>
      </c>
      <c r="G27">
        <v>0</v>
      </c>
    </row>
    <row r="28" spans="1:7" x14ac:dyDescent="0.2">
      <c r="A28">
        <v>8</v>
      </c>
      <c r="B28" t="s">
        <v>139</v>
      </c>
      <c r="C28" t="s">
        <v>164</v>
      </c>
      <c r="D28">
        <v>0</v>
      </c>
      <c r="E28">
        <v>0</v>
      </c>
      <c r="F28">
        <v>0</v>
      </c>
      <c r="G28">
        <v>0</v>
      </c>
    </row>
    <row r="29" spans="1:7" x14ac:dyDescent="0.2">
      <c r="A29">
        <v>8</v>
      </c>
      <c r="B29">
        <v>120.14</v>
      </c>
      <c r="C29" t="s">
        <v>164</v>
      </c>
      <c r="D29">
        <v>0</v>
      </c>
      <c r="E29">
        <v>0</v>
      </c>
      <c r="F29">
        <v>0</v>
      </c>
      <c r="G29">
        <v>0</v>
      </c>
    </row>
    <row r="30" spans="1:7" x14ac:dyDescent="0.2">
      <c r="A30">
        <v>9</v>
      </c>
      <c r="B30" t="s">
        <v>139</v>
      </c>
      <c r="C30" t="s">
        <v>165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9</v>
      </c>
      <c r="B31">
        <v>117.17</v>
      </c>
      <c r="C31" t="s">
        <v>166</v>
      </c>
      <c r="D31">
        <v>0</v>
      </c>
      <c r="E31">
        <v>0</v>
      </c>
      <c r="F31">
        <v>0</v>
      </c>
      <c r="G31">
        <v>0</v>
      </c>
    </row>
    <row r="32" spans="1:7" x14ac:dyDescent="0.2">
      <c r="A32">
        <v>9</v>
      </c>
      <c r="B32">
        <v>120.14</v>
      </c>
      <c r="C32" t="s">
        <v>158</v>
      </c>
      <c r="D32">
        <v>0</v>
      </c>
      <c r="E32">
        <v>1</v>
      </c>
      <c r="F32">
        <v>0</v>
      </c>
      <c r="G32">
        <v>0</v>
      </c>
    </row>
    <row r="33" spans="1:7" x14ac:dyDescent="0.2">
      <c r="A33">
        <v>9</v>
      </c>
      <c r="B33">
        <v>120.17</v>
      </c>
      <c r="C33" t="s">
        <v>167</v>
      </c>
      <c r="D33">
        <v>0</v>
      </c>
      <c r="E33">
        <v>0</v>
      </c>
      <c r="F33">
        <v>0</v>
      </c>
      <c r="G33">
        <v>1</v>
      </c>
    </row>
    <row r="34" spans="1:7" x14ac:dyDescent="0.2">
      <c r="A34">
        <v>10</v>
      </c>
      <c r="B34">
        <v>120.14</v>
      </c>
      <c r="C34" t="s">
        <v>168</v>
      </c>
      <c r="D34">
        <v>0</v>
      </c>
      <c r="E34">
        <v>0</v>
      </c>
      <c r="F34">
        <v>0</v>
      </c>
      <c r="G34">
        <v>0</v>
      </c>
    </row>
    <row r="35" spans="1:7" x14ac:dyDescent="0.2">
      <c r="A35">
        <v>10</v>
      </c>
      <c r="B35" t="s">
        <v>139</v>
      </c>
      <c r="C35" t="s">
        <v>169</v>
      </c>
      <c r="D35">
        <v>0</v>
      </c>
      <c r="E35">
        <v>0</v>
      </c>
      <c r="F35">
        <v>0</v>
      </c>
      <c r="G35">
        <v>0</v>
      </c>
    </row>
    <row r="36" spans="1:7" x14ac:dyDescent="0.2">
      <c r="A36">
        <v>10</v>
      </c>
      <c r="B36">
        <v>120.17</v>
      </c>
      <c r="C36" t="s">
        <v>170</v>
      </c>
      <c r="D36">
        <v>0</v>
      </c>
      <c r="E36">
        <v>0</v>
      </c>
      <c r="F36">
        <v>0</v>
      </c>
      <c r="G36">
        <v>0</v>
      </c>
    </row>
    <row r="37" spans="1:7" x14ac:dyDescent="0.2">
      <c r="A37">
        <v>10</v>
      </c>
      <c r="B37">
        <v>117.17</v>
      </c>
      <c r="C37" t="s">
        <v>171</v>
      </c>
      <c r="D37">
        <v>0</v>
      </c>
      <c r="E37">
        <v>0</v>
      </c>
      <c r="F37">
        <v>0</v>
      </c>
      <c r="G37">
        <v>0</v>
      </c>
    </row>
    <row r="38" spans="1:7" x14ac:dyDescent="0.2">
      <c r="A38">
        <v>11</v>
      </c>
      <c r="B38">
        <v>120.17</v>
      </c>
      <c r="C38" t="s">
        <v>172</v>
      </c>
      <c r="D38">
        <v>0</v>
      </c>
      <c r="E38">
        <v>0</v>
      </c>
      <c r="F38">
        <v>0</v>
      </c>
      <c r="G38">
        <v>0</v>
      </c>
    </row>
    <row r="39" spans="1:7" x14ac:dyDescent="0.2">
      <c r="A39">
        <v>11</v>
      </c>
      <c r="B39">
        <v>120.14</v>
      </c>
      <c r="C39" t="s">
        <v>172</v>
      </c>
      <c r="D39">
        <v>0</v>
      </c>
      <c r="E39">
        <v>0</v>
      </c>
      <c r="F39">
        <v>0</v>
      </c>
      <c r="G39">
        <v>0</v>
      </c>
    </row>
    <row r="40" spans="1:7" x14ac:dyDescent="0.2">
      <c r="A40">
        <v>11</v>
      </c>
      <c r="B40">
        <v>117.17</v>
      </c>
      <c r="C40" t="s">
        <v>172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11</v>
      </c>
      <c r="B41" t="s">
        <v>139</v>
      </c>
      <c r="C41" t="s">
        <v>172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12</v>
      </c>
      <c r="B42">
        <v>117.17</v>
      </c>
      <c r="C42" t="s">
        <v>173</v>
      </c>
      <c r="D42">
        <v>0</v>
      </c>
      <c r="E42">
        <v>0</v>
      </c>
      <c r="F42">
        <v>0</v>
      </c>
      <c r="G42">
        <v>0</v>
      </c>
    </row>
    <row r="43" spans="1:7" x14ac:dyDescent="0.2">
      <c r="A43">
        <v>12</v>
      </c>
      <c r="B43">
        <v>120.17</v>
      </c>
      <c r="C43" t="s">
        <v>174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12</v>
      </c>
      <c r="B44" t="s">
        <v>139</v>
      </c>
      <c r="C44" t="s">
        <v>175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12</v>
      </c>
      <c r="B45">
        <v>120.14</v>
      </c>
      <c r="C45" t="s">
        <v>176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13</v>
      </c>
      <c r="B46" t="s">
        <v>139</v>
      </c>
      <c r="C46" t="s">
        <v>177</v>
      </c>
      <c r="D46">
        <v>0</v>
      </c>
      <c r="E46">
        <v>0</v>
      </c>
      <c r="F46">
        <v>0</v>
      </c>
      <c r="G46">
        <v>1</v>
      </c>
    </row>
    <row r="47" spans="1:7" x14ac:dyDescent="0.2">
      <c r="A47">
        <v>13</v>
      </c>
      <c r="B47">
        <v>117.17</v>
      </c>
      <c r="C47" t="s">
        <v>158</v>
      </c>
      <c r="D47">
        <v>0</v>
      </c>
      <c r="E47">
        <v>1</v>
      </c>
      <c r="F47">
        <v>0</v>
      </c>
      <c r="G47">
        <v>0</v>
      </c>
    </row>
    <row r="48" spans="1:7" x14ac:dyDescent="0.2">
      <c r="A48">
        <v>13</v>
      </c>
      <c r="B48">
        <v>120.14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">
      <c r="A49">
        <v>13</v>
      </c>
      <c r="B49">
        <v>120.17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14</v>
      </c>
      <c r="B50">
        <v>120.14</v>
      </c>
      <c r="C50" t="s">
        <v>178</v>
      </c>
      <c r="D50">
        <v>0</v>
      </c>
      <c r="E50">
        <v>0</v>
      </c>
      <c r="F50">
        <v>0</v>
      </c>
      <c r="G50">
        <v>1</v>
      </c>
    </row>
    <row r="51" spans="1:7" x14ac:dyDescent="0.2">
      <c r="A51">
        <v>14</v>
      </c>
      <c r="B51" t="s">
        <v>139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">
      <c r="A52">
        <v>14</v>
      </c>
      <c r="B52">
        <v>120.17</v>
      </c>
      <c r="C52" t="s">
        <v>164</v>
      </c>
      <c r="D52">
        <v>0</v>
      </c>
      <c r="E52">
        <v>0</v>
      </c>
      <c r="F52">
        <v>0</v>
      </c>
      <c r="G52">
        <v>0</v>
      </c>
    </row>
    <row r="53" spans="1:7" x14ac:dyDescent="0.2">
      <c r="A53">
        <v>14</v>
      </c>
      <c r="B53">
        <v>117.17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">
      <c r="A54">
        <v>15</v>
      </c>
      <c r="B54">
        <v>120.17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15</v>
      </c>
      <c r="B55">
        <v>120.14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15</v>
      </c>
      <c r="B56">
        <v>117.17</v>
      </c>
      <c r="C56" t="s">
        <v>179</v>
      </c>
      <c r="D56">
        <v>0</v>
      </c>
      <c r="E56">
        <v>0</v>
      </c>
      <c r="F56">
        <v>0</v>
      </c>
      <c r="G56">
        <v>1</v>
      </c>
    </row>
    <row r="57" spans="1:7" x14ac:dyDescent="0.2">
      <c r="A57">
        <v>15</v>
      </c>
      <c r="B57" t="s">
        <v>139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">
      <c r="A58">
        <v>16</v>
      </c>
      <c r="B58">
        <v>117.17</v>
      </c>
      <c r="C58" t="s">
        <v>180</v>
      </c>
      <c r="D58">
        <v>0</v>
      </c>
      <c r="E58">
        <v>0</v>
      </c>
      <c r="F58">
        <v>0</v>
      </c>
      <c r="G58">
        <v>0</v>
      </c>
    </row>
    <row r="59" spans="1:7" x14ac:dyDescent="0.2">
      <c r="A59">
        <v>16</v>
      </c>
      <c r="B59">
        <v>120.17</v>
      </c>
      <c r="C59" t="s">
        <v>181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16</v>
      </c>
      <c r="B60" t="s">
        <v>139</v>
      </c>
      <c r="C60" t="s">
        <v>164</v>
      </c>
      <c r="D60">
        <v>0</v>
      </c>
      <c r="E60">
        <v>0</v>
      </c>
      <c r="F60">
        <v>0</v>
      </c>
      <c r="G60">
        <v>0</v>
      </c>
    </row>
    <row r="61" spans="1:7" x14ac:dyDescent="0.2">
      <c r="A61">
        <v>16</v>
      </c>
      <c r="B61">
        <v>120.14</v>
      </c>
      <c r="C61" t="s">
        <v>182</v>
      </c>
      <c r="D61">
        <v>0</v>
      </c>
      <c r="E61">
        <v>0</v>
      </c>
      <c r="F61">
        <v>0</v>
      </c>
      <c r="G61">
        <v>0</v>
      </c>
    </row>
    <row r="62" spans="1:7" x14ac:dyDescent="0.2">
      <c r="A62">
        <v>17</v>
      </c>
      <c r="B62" t="s">
        <v>139</v>
      </c>
      <c r="C62" t="s">
        <v>183</v>
      </c>
      <c r="D62">
        <v>0</v>
      </c>
      <c r="E62">
        <v>1</v>
      </c>
      <c r="F62">
        <v>0</v>
      </c>
      <c r="G62">
        <v>0</v>
      </c>
    </row>
    <row r="63" spans="1:7" x14ac:dyDescent="0.2">
      <c r="A63">
        <v>17</v>
      </c>
      <c r="B63">
        <v>117.17</v>
      </c>
      <c r="C63" t="s">
        <v>184</v>
      </c>
      <c r="D63">
        <v>0</v>
      </c>
      <c r="E63">
        <v>1</v>
      </c>
      <c r="F63">
        <v>0</v>
      </c>
      <c r="G63">
        <v>0</v>
      </c>
    </row>
    <row r="64" spans="1:7" x14ac:dyDescent="0.2">
      <c r="A64">
        <v>17</v>
      </c>
      <c r="B64">
        <v>120.14</v>
      </c>
      <c r="C64" t="s">
        <v>185</v>
      </c>
      <c r="D64">
        <v>0</v>
      </c>
      <c r="E64">
        <v>1</v>
      </c>
      <c r="F64">
        <v>0</v>
      </c>
      <c r="G64">
        <v>0</v>
      </c>
    </row>
    <row r="65" spans="1:7" x14ac:dyDescent="0.2">
      <c r="A65">
        <v>17</v>
      </c>
      <c r="B65">
        <v>120.17</v>
      </c>
      <c r="C65" t="s">
        <v>186</v>
      </c>
      <c r="D65">
        <v>0</v>
      </c>
      <c r="E65">
        <v>0</v>
      </c>
      <c r="F65">
        <v>0</v>
      </c>
      <c r="G65">
        <v>0</v>
      </c>
    </row>
    <row r="66" spans="1:7" x14ac:dyDescent="0.2">
      <c r="A66">
        <v>18</v>
      </c>
      <c r="B66">
        <v>120.14</v>
      </c>
      <c r="C66" t="s">
        <v>179</v>
      </c>
      <c r="D66">
        <v>0</v>
      </c>
      <c r="E66">
        <v>0</v>
      </c>
      <c r="F66">
        <v>0</v>
      </c>
      <c r="G66">
        <v>1</v>
      </c>
    </row>
    <row r="67" spans="1:7" x14ac:dyDescent="0.2">
      <c r="A67">
        <v>18</v>
      </c>
      <c r="B67" t="s">
        <v>139</v>
      </c>
      <c r="C67" t="s">
        <v>187</v>
      </c>
      <c r="D67">
        <v>0</v>
      </c>
      <c r="E67">
        <v>0</v>
      </c>
      <c r="F67">
        <v>0</v>
      </c>
      <c r="G67">
        <v>0</v>
      </c>
    </row>
    <row r="68" spans="1:7" x14ac:dyDescent="0.2">
      <c r="A68">
        <v>18</v>
      </c>
      <c r="B68">
        <v>120.17</v>
      </c>
      <c r="C68" t="s">
        <v>188</v>
      </c>
      <c r="D68">
        <v>0</v>
      </c>
      <c r="E68">
        <v>0</v>
      </c>
      <c r="F68">
        <v>0</v>
      </c>
      <c r="G68">
        <v>0</v>
      </c>
    </row>
    <row r="69" spans="1:7" x14ac:dyDescent="0.2">
      <c r="A69">
        <v>18</v>
      </c>
      <c r="B69">
        <v>117.17</v>
      </c>
      <c r="C69" t="s">
        <v>189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19</v>
      </c>
      <c r="B70">
        <v>120.17</v>
      </c>
      <c r="C70" t="s">
        <v>190</v>
      </c>
      <c r="D70">
        <v>0</v>
      </c>
      <c r="E70">
        <v>0</v>
      </c>
      <c r="F70">
        <v>0</v>
      </c>
      <c r="G70">
        <v>0</v>
      </c>
    </row>
    <row r="71" spans="1:7" x14ac:dyDescent="0.2">
      <c r="A71">
        <v>19</v>
      </c>
      <c r="B71">
        <v>120.14</v>
      </c>
      <c r="C71" t="s">
        <v>158</v>
      </c>
      <c r="D71">
        <v>0</v>
      </c>
      <c r="E71">
        <v>1</v>
      </c>
      <c r="F71">
        <v>0</v>
      </c>
      <c r="G71">
        <v>0</v>
      </c>
    </row>
    <row r="72" spans="1:7" x14ac:dyDescent="0.2">
      <c r="A72">
        <v>19</v>
      </c>
      <c r="B72">
        <v>117.17</v>
      </c>
      <c r="C72" t="s">
        <v>191</v>
      </c>
      <c r="D72">
        <v>0</v>
      </c>
      <c r="E72">
        <v>0</v>
      </c>
      <c r="F72">
        <v>0</v>
      </c>
      <c r="G72">
        <v>0</v>
      </c>
    </row>
    <row r="73" spans="1:7" x14ac:dyDescent="0.2">
      <c r="A73">
        <v>19</v>
      </c>
      <c r="B73" t="s">
        <v>139</v>
      </c>
      <c r="C73" t="s">
        <v>192</v>
      </c>
      <c r="D73">
        <v>1</v>
      </c>
      <c r="E73">
        <v>0</v>
      </c>
      <c r="F73">
        <v>0</v>
      </c>
      <c r="G73">
        <v>0</v>
      </c>
    </row>
    <row r="74" spans="1:7" x14ac:dyDescent="0.2">
      <c r="A74">
        <v>20</v>
      </c>
      <c r="B74">
        <v>117.17</v>
      </c>
      <c r="C74" t="s">
        <v>193</v>
      </c>
      <c r="D74">
        <v>1</v>
      </c>
      <c r="E74">
        <v>0</v>
      </c>
      <c r="F74">
        <v>0</v>
      </c>
      <c r="G74">
        <v>0</v>
      </c>
    </row>
    <row r="75" spans="1:7" x14ac:dyDescent="0.2">
      <c r="A75">
        <v>20</v>
      </c>
      <c r="B75">
        <v>120.17</v>
      </c>
      <c r="C75" t="s">
        <v>190</v>
      </c>
      <c r="D75">
        <v>0</v>
      </c>
      <c r="E75">
        <v>0</v>
      </c>
      <c r="F75">
        <v>0</v>
      </c>
      <c r="G75">
        <v>0</v>
      </c>
    </row>
    <row r="76" spans="1:7" x14ac:dyDescent="0.2">
      <c r="A76">
        <v>20</v>
      </c>
      <c r="B76" t="s">
        <v>139</v>
      </c>
      <c r="C76" t="s">
        <v>194</v>
      </c>
      <c r="D76">
        <v>0</v>
      </c>
      <c r="E76">
        <v>0</v>
      </c>
      <c r="F76">
        <v>0</v>
      </c>
      <c r="G76">
        <v>0</v>
      </c>
    </row>
    <row r="77" spans="1:7" x14ac:dyDescent="0.2">
      <c r="A77">
        <v>20</v>
      </c>
      <c r="B77">
        <v>120.14</v>
      </c>
      <c r="C77" t="s">
        <v>190</v>
      </c>
      <c r="D77">
        <v>0</v>
      </c>
      <c r="E77">
        <v>0</v>
      </c>
      <c r="F77">
        <v>0</v>
      </c>
      <c r="G77">
        <v>0</v>
      </c>
    </row>
    <row r="78" spans="1:7" x14ac:dyDescent="0.2">
      <c r="A78">
        <v>21</v>
      </c>
      <c r="B78" t="s">
        <v>139</v>
      </c>
      <c r="C78" t="s">
        <v>195</v>
      </c>
      <c r="D78">
        <v>0</v>
      </c>
      <c r="E78">
        <v>0</v>
      </c>
      <c r="F78">
        <v>0</v>
      </c>
      <c r="G78">
        <v>0</v>
      </c>
    </row>
    <row r="79" spans="1:7" x14ac:dyDescent="0.2">
      <c r="A79">
        <v>21</v>
      </c>
      <c r="B79">
        <v>117.17</v>
      </c>
      <c r="C79" t="s">
        <v>158</v>
      </c>
      <c r="D79">
        <v>0</v>
      </c>
      <c r="E79">
        <v>1</v>
      </c>
      <c r="F79">
        <v>0</v>
      </c>
      <c r="G79">
        <v>0</v>
      </c>
    </row>
    <row r="80" spans="1:7" x14ac:dyDescent="0.2">
      <c r="A80">
        <v>21</v>
      </c>
      <c r="B80">
        <v>120.14</v>
      </c>
      <c r="C80" t="s">
        <v>196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21</v>
      </c>
      <c r="B81">
        <v>120.17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22</v>
      </c>
      <c r="B82">
        <v>120.14</v>
      </c>
      <c r="C82" t="s">
        <v>197</v>
      </c>
      <c r="D82">
        <v>0</v>
      </c>
      <c r="E82">
        <v>0</v>
      </c>
      <c r="F82">
        <v>1</v>
      </c>
      <c r="G82">
        <v>1</v>
      </c>
    </row>
    <row r="83" spans="1:7" x14ac:dyDescent="0.2">
      <c r="A83">
        <v>22</v>
      </c>
      <c r="B83" t="s">
        <v>139</v>
      </c>
      <c r="C83" t="s">
        <v>198</v>
      </c>
      <c r="D83">
        <v>0</v>
      </c>
      <c r="E83">
        <v>1</v>
      </c>
      <c r="F83">
        <v>0</v>
      </c>
      <c r="G83">
        <v>0</v>
      </c>
    </row>
    <row r="84" spans="1:7" x14ac:dyDescent="0.2">
      <c r="A84">
        <v>22</v>
      </c>
      <c r="B84">
        <v>120.17</v>
      </c>
      <c r="C84" t="s">
        <v>199</v>
      </c>
      <c r="D84">
        <v>0</v>
      </c>
      <c r="E84">
        <v>1</v>
      </c>
      <c r="F84">
        <v>0</v>
      </c>
      <c r="G84">
        <v>1</v>
      </c>
    </row>
    <row r="85" spans="1:7" x14ac:dyDescent="0.2">
      <c r="A85">
        <v>22</v>
      </c>
      <c r="B85">
        <v>117.17</v>
      </c>
      <c r="C85" t="s">
        <v>200</v>
      </c>
      <c r="D85">
        <v>0</v>
      </c>
      <c r="E85">
        <v>1</v>
      </c>
      <c r="F85">
        <v>0</v>
      </c>
      <c r="G85">
        <v>0</v>
      </c>
    </row>
    <row r="86" spans="1:7" x14ac:dyDescent="0.2">
      <c r="A86">
        <v>23</v>
      </c>
      <c r="B86">
        <v>120.17</v>
      </c>
      <c r="C86" t="s">
        <v>201</v>
      </c>
      <c r="D86">
        <v>0</v>
      </c>
      <c r="E86">
        <v>0</v>
      </c>
      <c r="F86">
        <v>0</v>
      </c>
      <c r="G86">
        <v>0</v>
      </c>
    </row>
    <row r="87" spans="1:7" x14ac:dyDescent="0.2">
      <c r="A87">
        <v>23</v>
      </c>
      <c r="B87">
        <v>120.14</v>
      </c>
      <c r="C87" t="s">
        <v>202</v>
      </c>
      <c r="D87">
        <v>0</v>
      </c>
      <c r="E87">
        <v>1</v>
      </c>
      <c r="F87">
        <v>0</v>
      </c>
      <c r="G87">
        <v>0</v>
      </c>
    </row>
    <row r="88" spans="1:7" x14ac:dyDescent="0.2">
      <c r="A88">
        <v>23</v>
      </c>
      <c r="B88">
        <v>117.17</v>
      </c>
      <c r="C88" t="s">
        <v>203</v>
      </c>
      <c r="D88">
        <v>0</v>
      </c>
      <c r="E88">
        <v>1</v>
      </c>
      <c r="F88">
        <v>0</v>
      </c>
      <c r="G88">
        <v>0</v>
      </c>
    </row>
    <row r="89" spans="1:7" x14ac:dyDescent="0.2">
      <c r="A89">
        <v>23</v>
      </c>
      <c r="B89" t="s">
        <v>139</v>
      </c>
      <c r="C89" t="s">
        <v>204</v>
      </c>
      <c r="D89">
        <v>1</v>
      </c>
      <c r="E89">
        <v>0</v>
      </c>
      <c r="F89">
        <v>0</v>
      </c>
      <c r="G89">
        <v>0</v>
      </c>
    </row>
    <row r="90" spans="1:7" x14ac:dyDescent="0.2">
      <c r="A90">
        <v>24</v>
      </c>
      <c r="B90">
        <v>117.17</v>
      </c>
      <c r="C90" t="s">
        <v>164</v>
      </c>
      <c r="D90">
        <v>0</v>
      </c>
      <c r="E90">
        <v>0</v>
      </c>
      <c r="F90">
        <v>0</v>
      </c>
      <c r="G90">
        <v>0</v>
      </c>
    </row>
    <row r="91" spans="1:7" x14ac:dyDescent="0.2">
      <c r="A91">
        <v>24</v>
      </c>
      <c r="B91">
        <v>120.17</v>
      </c>
      <c r="C91" t="s">
        <v>205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24</v>
      </c>
      <c r="B92" t="s">
        <v>139</v>
      </c>
      <c r="C92" t="s">
        <v>164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24</v>
      </c>
      <c r="B93">
        <v>120.14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25</v>
      </c>
      <c r="B94" t="s">
        <v>139</v>
      </c>
      <c r="C94" t="s">
        <v>206</v>
      </c>
      <c r="D94">
        <v>0</v>
      </c>
      <c r="E94">
        <v>0</v>
      </c>
      <c r="F94">
        <v>0</v>
      </c>
      <c r="G94">
        <v>0</v>
      </c>
    </row>
    <row r="95" spans="1:7" x14ac:dyDescent="0.2">
      <c r="A95">
        <v>25</v>
      </c>
      <c r="B95">
        <v>117.17</v>
      </c>
      <c r="C95" t="s">
        <v>207</v>
      </c>
      <c r="D95">
        <v>1</v>
      </c>
      <c r="E95">
        <v>0</v>
      </c>
      <c r="F95">
        <v>0</v>
      </c>
      <c r="G95">
        <v>0</v>
      </c>
    </row>
    <row r="96" spans="1:7" x14ac:dyDescent="0.2">
      <c r="A96">
        <v>25</v>
      </c>
      <c r="B96">
        <v>120.14</v>
      </c>
      <c r="C96" t="s">
        <v>208</v>
      </c>
      <c r="D96">
        <v>1</v>
      </c>
      <c r="E96">
        <v>0</v>
      </c>
      <c r="F96">
        <v>0</v>
      </c>
      <c r="G96">
        <v>0</v>
      </c>
    </row>
    <row r="97" spans="1:7" x14ac:dyDescent="0.2">
      <c r="A97">
        <v>25</v>
      </c>
      <c r="B97">
        <v>120.17</v>
      </c>
      <c r="C97" t="s">
        <v>209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26</v>
      </c>
      <c r="B98">
        <v>120.14</v>
      </c>
      <c r="C98" t="s">
        <v>210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26</v>
      </c>
      <c r="B99" t="s">
        <v>139</v>
      </c>
      <c r="C99" t="s">
        <v>211</v>
      </c>
      <c r="D99">
        <v>1</v>
      </c>
      <c r="E99">
        <v>0</v>
      </c>
      <c r="F99">
        <v>0</v>
      </c>
      <c r="G99">
        <v>0</v>
      </c>
    </row>
    <row r="100" spans="1:7" x14ac:dyDescent="0.2">
      <c r="A100">
        <v>26</v>
      </c>
      <c r="B100">
        <v>120.17</v>
      </c>
      <c r="C100" t="s">
        <v>212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26</v>
      </c>
      <c r="B101">
        <v>117.17</v>
      </c>
      <c r="C101" t="s">
        <v>213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</v>
      </c>
      <c r="B102">
        <v>120.17</v>
      </c>
      <c r="C102" t="s">
        <v>214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27</v>
      </c>
      <c r="B103">
        <v>120.14</v>
      </c>
      <c r="C103" t="s">
        <v>176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27</v>
      </c>
      <c r="B104">
        <v>117.17</v>
      </c>
      <c r="C104" t="s">
        <v>215</v>
      </c>
      <c r="D104">
        <v>0</v>
      </c>
      <c r="E104">
        <v>0</v>
      </c>
      <c r="F104">
        <v>0</v>
      </c>
      <c r="G104">
        <v>0</v>
      </c>
    </row>
    <row r="105" spans="1:7" x14ac:dyDescent="0.2">
      <c r="A105">
        <v>27</v>
      </c>
      <c r="B105" t="s">
        <v>139</v>
      </c>
      <c r="C105" t="s">
        <v>216</v>
      </c>
      <c r="D105">
        <v>0</v>
      </c>
      <c r="E105">
        <v>0</v>
      </c>
      <c r="F105">
        <v>0</v>
      </c>
      <c r="G105">
        <v>0</v>
      </c>
    </row>
    <row r="106" spans="1:7" x14ac:dyDescent="0.2">
      <c r="A106">
        <v>28</v>
      </c>
      <c r="B106">
        <v>117.17</v>
      </c>
      <c r="C106" t="s">
        <v>217</v>
      </c>
      <c r="D106">
        <v>0</v>
      </c>
      <c r="E106">
        <v>1</v>
      </c>
      <c r="F106">
        <v>0</v>
      </c>
      <c r="G106">
        <v>0</v>
      </c>
    </row>
    <row r="107" spans="1:7" x14ac:dyDescent="0.2">
      <c r="A107">
        <v>28</v>
      </c>
      <c r="B107">
        <v>120.17</v>
      </c>
      <c r="C107" t="s">
        <v>218</v>
      </c>
      <c r="D107">
        <v>0</v>
      </c>
      <c r="E107">
        <v>0</v>
      </c>
      <c r="F107">
        <v>0</v>
      </c>
      <c r="G107">
        <v>1</v>
      </c>
    </row>
    <row r="108" spans="1:7" x14ac:dyDescent="0.2">
      <c r="A108">
        <v>28</v>
      </c>
      <c r="B108" t="s">
        <v>139</v>
      </c>
      <c r="C108" t="s">
        <v>219</v>
      </c>
      <c r="D108">
        <v>0</v>
      </c>
      <c r="E108">
        <v>0</v>
      </c>
      <c r="F108">
        <v>0</v>
      </c>
      <c r="G108">
        <v>1</v>
      </c>
    </row>
    <row r="109" spans="1:7" x14ac:dyDescent="0.2">
      <c r="A109">
        <v>28</v>
      </c>
      <c r="B109">
        <v>120.14</v>
      </c>
      <c r="C109" t="s">
        <v>220</v>
      </c>
      <c r="D109">
        <v>0</v>
      </c>
      <c r="E109">
        <v>1</v>
      </c>
      <c r="F109">
        <v>0</v>
      </c>
      <c r="G109">
        <v>0</v>
      </c>
    </row>
    <row r="110" spans="1:7" x14ac:dyDescent="0.2">
      <c r="A110">
        <v>29</v>
      </c>
      <c r="B110" t="s">
        <v>139</v>
      </c>
      <c r="C110" t="s">
        <v>149</v>
      </c>
      <c r="D110">
        <v>0</v>
      </c>
      <c r="E110">
        <v>0</v>
      </c>
      <c r="F110">
        <v>0</v>
      </c>
      <c r="G110">
        <v>0</v>
      </c>
    </row>
    <row r="111" spans="1:7" x14ac:dyDescent="0.2">
      <c r="A111">
        <v>29</v>
      </c>
      <c r="B111">
        <v>117.17</v>
      </c>
      <c r="C111" t="s">
        <v>221</v>
      </c>
      <c r="D111">
        <v>0</v>
      </c>
      <c r="E111">
        <v>0</v>
      </c>
      <c r="F111">
        <v>0</v>
      </c>
      <c r="G111">
        <v>0</v>
      </c>
    </row>
    <row r="112" spans="1:7" x14ac:dyDescent="0.2">
      <c r="A112">
        <v>29</v>
      </c>
      <c r="B112">
        <v>120.14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29</v>
      </c>
      <c r="B113">
        <v>120.17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30</v>
      </c>
      <c r="B114">
        <v>120.14</v>
      </c>
      <c r="C114" t="s">
        <v>190</v>
      </c>
      <c r="D114">
        <v>0</v>
      </c>
      <c r="E114">
        <v>0</v>
      </c>
      <c r="F114">
        <v>0</v>
      </c>
      <c r="G114">
        <v>0</v>
      </c>
    </row>
    <row r="115" spans="1:7" x14ac:dyDescent="0.2">
      <c r="A115">
        <v>30</v>
      </c>
      <c r="B115" t="s">
        <v>139</v>
      </c>
      <c r="C115" t="s">
        <v>222</v>
      </c>
      <c r="D115">
        <v>1</v>
      </c>
      <c r="E115">
        <v>0</v>
      </c>
      <c r="F115">
        <v>0</v>
      </c>
      <c r="G115">
        <v>0</v>
      </c>
    </row>
    <row r="116" spans="1:7" x14ac:dyDescent="0.2">
      <c r="A116">
        <v>30</v>
      </c>
      <c r="B116">
        <v>120.17</v>
      </c>
      <c r="C116" t="s">
        <v>223</v>
      </c>
      <c r="D116">
        <v>0</v>
      </c>
      <c r="E116">
        <v>0</v>
      </c>
      <c r="F116">
        <v>0</v>
      </c>
      <c r="G116">
        <v>0</v>
      </c>
    </row>
    <row r="117" spans="1:7" x14ac:dyDescent="0.2">
      <c r="A117">
        <v>30</v>
      </c>
      <c r="B117">
        <v>117.17</v>
      </c>
      <c r="C117" t="s">
        <v>224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31</v>
      </c>
      <c r="B118">
        <v>120.17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31</v>
      </c>
      <c r="B119">
        <v>120.14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">
      <c r="A120">
        <v>31</v>
      </c>
      <c r="B120">
        <v>117.17</v>
      </c>
      <c r="C120" t="s">
        <v>158</v>
      </c>
      <c r="D120">
        <v>0</v>
      </c>
      <c r="E120">
        <v>1</v>
      </c>
      <c r="F120">
        <v>0</v>
      </c>
      <c r="G120">
        <v>0</v>
      </c>
    </row>
    <row r="121" spans="1:7" x14ac:dyDescent="0.2">
      <c r="A121">
        <v>31</v>
      </c>
      <c r="B121" t="s">
        <v>139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">
      <c r="A122">
        <v>32</v>
      </c>
      <c r="B122">
        <v>117.17</v>
      </c>
      <c r="C122" t="s">
        <v>225</v>
      </c>
      <c r="D122">
        <v>0</v>
      </c>
      <c r="E122">
        <v>0</v>
      </c>
      <c r="F122">
        <v>0</v>
      </c>
      <c r="G122">
        <v>1</v>
      </c>
    </row>
    <row r="123" spans="1:7" x14ac:dyDescent="0.2">
      <c r="A123">
        <v>32</v>
      </c>
      <c r="B123">
        <v>120.17</v>
      </c>
      <c r="C123" t="s">
        <v>226</v>
      </c>
      <c r="D123">
        <v>0</v>
      </c>
      <c r="E123">
        <v>1</v>
      </c>
      <c r="F123">
        <v>0</v>
      </c>
      <c r="G123">
        <v>0</v>
      </c>
    </row>
    <row r="124" spans="1:7" x14ac:dyDescent="0.2">
      <c r="A124">
        <v>32</v>
      </c>
      <c r="B124" t="s">
        <v>139</v>
      </c>
      <c r="C124" t="s">
        <v>227</v>
      </c>
      <c r="D124">
        <v>0</v>
      </c>
      <c r="E124">
        <v>1</v>
      </c>
      <c r="F124">
        <v>0</v>
      </c>
      <c r="G124">
        <v>0</v>
      </c>
    </row>
    <row r="125" spans="1:7" x14ac:dyDescent="0.2">
      <c r="A125">
        <v>32</v>
      </c>
      <c r="B125">
        <v>120.14</v>
      </c>
      <c r="C125" t="s">
        <v>228</v>
      </c>
      <c r="D125">
        <v>0</v>
      </c>
      <c r="E125">
        <v>1</v>
      </c>
      <c r="F125">
        <v>0</v>
      </c>
      <c r="G125">
        <v>0</v>
      </c>
    </row>
    <row r="126" spans="1:7" x14ac:dyDescent="0.2">
      <c r="A126">
        <v>33</v>
      </c>
      <c r="B126" t="s">
        <v>139</v>
      </c>
      <c r="C126" t="s">
        <v>164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33</v>
      </c>
      <c r="B127">
        <v>117.17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33</v>
      </c>
      <c r="B128">
        <v>120.14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33</v>
      </c>
      <c r="B129">
        <v>120.17</v>
      </c>
      <c r="C129" t="s">
        <v>164</v>
      </c>
      <c r="D129">
        <v>0</v>
      </c>
      <c r="E129">
        <v>0</v>
      </c>
      <c r="F129">
        <v>0</v>
      </c>
      <c r="G129">
        <v>0</v>
      </c>
    </row>
    <row r="130" spans="1:7" x14ac:dyDescent="0.2">
      <c r="A130">
        <v>34</v>
      </c>
      <c r="B130">
        <v>120.14</v>
      </c>
      <c r="C130" t="s">
        <v>164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34</v>
      </c>
      <c r="B131" t="s">
        <v>139</v>
      </c>
      <c r="C131" t="s">
        <v>164</v>
      </c>
      <c r="D131">
        <v>0</v>
      </c>
      <c r="E131">
        <v>0</v>
      </c>
      <c r="F131">
        <v>0</v>
      </c>
      <c r="G131">
        <v>0</v>
      </c>
    </row>
    <row r="132" spans="1:7" x14ac:dyDescent="0.2">
      <c r="A132">
        <v>34</v>
      </c>
      <c r="B132">
        <v>120.17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">
      <c r="A133">
        <v>34</v>
      </c>
      <c r="B133">
        <v>117.17</v>
      </c>
      <c r="C133" t="s">
        <v>164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35</v>
      </c>
      <c r="B134">
        <v>120.17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35</v>
      </c>
      <c r="B135">
        <v>120.14</v>
      </c>
      <c r="C135" t="s">
        <v>164</v>
      </c>
      <c r="D135">
        <v>0</v>
      </c>
      <c r="E135">
        <v>0</v>
      </c>
      <c r="F135">
        <v>0</v>
      </c>
      <c r="G135">
        <v>0</v>
      </c>
    </row>
    <row r="136" spans="1:7" x14ac:dyDescent="0.2">
      <c r="A136">
        <v>35</v>
      </c>
      <c r="B136">
        <v>117.17</v>
      </c>
      <c r="C136" t="s">
        <v>229</v>
      </c>
      <c r="D136">
        <v>0</v>
      </c>
      <c r="E136">
        <v>0</v>
      </c>
      <c r="F136">
        <v>0</v>
      </c>
      <c r="G136">
        <v>0</v>
      </c>
    </row>
    <row r="137" spans="1:7" x14ac:dyDescent="0.2">
      <c r="A137">
        <v>35</v>
      </c>
      <c r="B137" t="s">
        <v>139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">
      <c r="A138">
        <v>36</v>
      </c>
      <c r="B138">
        <v>117.17</v>
      </c>
      <c r="C138" t="s">
        <v>230</v>
      </c>
      <c r="D138">
        <v>0</v>
      </c>
      <c r="E138">
        <v>1</v>
      </c>
      <c r="F138">
        <v>0</v>
      </c>
      <c r="G138">
        <v>0</v>
      </c>
    </row>
    <row r="139" spans="1:7" x14ac:dyDescent="0.2">
      <c r="A139">
        <v>36</v>
      </c>
      <c r="B139">
        <v>120.17</v>
      </c>
      <c r="C139" t="s">
        <v>231</v>
      </c>
      <c r="D139">
        <v>0</v>
      </c>
      <c r="E139">
        <v>0</v>
      </c>
      <c r="F139">
        <v>0</v>
      </c>
      <c r="G139">
        <v>1</v>
      </c>
    </row>
    <row r="140" spans="1:7" x14ac:dyDescent="0.2">
      <c r="A140">
        <v>36</v>
      </c>
      <c r="B140" t="s">
        <v>139</v>
      </c>
      <c r="C140" t="s">
        <v>232</v>
      </c>
      <c r="D140">
        <v>0</v>
      </c>
      <c r="E140">
        <v>1</v>
      </c>
      <c r="F140">
        <v>0</v>
      </c>
      <c r="G140">
        <v>1</v>
      </c>
    </row>
    <row r="141" spans="1:7" x14ac:dyDescent="0.2">
      <c r="A141">
        <v>36</v>
      </c>
      <c r="B141">
        <v>120.14</v>
      </c>
      <c r="C141" t="s">
        <v>233</v>
      </c>
      <c r="D141">
        <v>0</v>
      </c>
      <c r="E141">
        <v>1</v>
      </c>
      <c r="F141">
        <v>0</v>
      </c>
      <c r="G141">
        <v>0</v>
      </c>
    </row>
    <row r="142" spans="1:7" x14ac:dyDescent="0.2">
      <c r="A142">
        <v>37</v>
      </c>
      <c r="B142" t="s">
        <v>139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37</v>
      </c>
      <c r="B143">
        <v>117.17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">
      <c r="A144">
        <v>37</v>
      </c>
      <c r="B144">
        <v>120.14</v>
      </c>
      <c r="C144" t="s">
        <v>234</v>
      </c>
      <c r="D144">
        <v>0</v>
      </c>
      <c r="E144">
        <v>0</v>
      </c>
      <c r="F144">
        <v>0</v>
      </c>
      <c r="G144">
        <v>0</v>
      </c>
    </row>
    <row r="145" spans="1:7" x14ac:dyDescent="0.2">
      <c r="A145">
        <v>37</v>
      </c>
      <c r="B145">
        <v>120.17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38</v>
      </c>
      <c r="B146">
        <v>120.14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38</v>
      </c>
      <c r="B147" t="s">
        <v>139</v>
      </c>
      <c r="C147" t="s">
        <v>142</v>
      </c>
      <c r="D147">
        <v>0</v>
      </c>
      <c r="E147">
        <v>1</v>
      </c>
      <c r="F147">
        <v>0</v>
      </c>
      <c r="G147">
        <v>0</v>
      </c>
    </row>
    <row r="148" spans="1:7" x14ac:dyDescent="0.2">
      <c r="A148">
        <v>38</v>
      </c>
      <c r="B148">
        <v>120.17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">
      <c r="A149">
        <v>38</v>
      </c>
      <c r="B149">
        <v>117.17</v>
      </c>
      <c r="C149" t="s">
        <v>177</v>
      </c>
      <c r="D149">
        <v>0</v>
      </c>
      <c r="E149">
        <v>0</v>
      </c>
      <c r="F149">
        <v>0</v>
      </c>
      <c r="G149">
        <v>1</v>
      </c>
    </row>
    <row r="150" spans="1:7" x14ac:dyDescent="0.2">
      <c r="A150">
        <v>39</v>
      </c>
      <c r="B150">
        <v>120.17</v>
      </c>
      <c r="C150" t="s">
        <v>235</v>
      </c>
      <c r="D150">
        <v>0</v>
      </c>
      <c r="E150">
        <v>1</v>
      </c>
      <c r="F150">
        <v>0</v>
      </c>
      <c r="G150">
        <v>0</v>
      </c>
    </row>
    <row r="151" spans="1:7" x14ac:dyDescent="0.2">
      <c r="A151">
        <v>39</v>
      </c>
      <c r="B151">
        <v>120.14</v>
      </c>
      <c r="C151" t="s">
        <v>158</v>
      </c>
      <c r="D151">
        <v>0</v>
      </c>
      <c r="E151">
        <v>1</v>
      </c>
      <c r="F151">
        <v>0</v>
      </c>
      <c r="G151">
        <v>0</v>
      </c>
    </row>
    <row r="152" spans="1:7" x14ac:dyDescent="0.2">
      <c r="A152">
        <v>39</v>
      </c>
      <c r="B152">
        <v>117.17</v>
      </c>
      <c r="C152" t="s">
        <v>236</v>
      </c>
      <c r="D152">
        <v>0</v>
      </c>
      <c r="E152">
        <v>1</v>
      </c>
      <c r="F152">
        <v>0</v>
      </c>
      <c r="G152">
        <v>0</v>
      </c>
    </row>
    <row r="153" spans="1:7" x14ac:dyDescent="0.2">
      <c r="A153">
        <v>39</v>
      </c>
      <c r="B153" t="s">
        <v>139</v>
      </c>
      <c r="C153" t="s">
        <v>237</v>
      </c>
      <c r="D153">
        <v>0</v>
      </c>
      <c r="E153">
        <v>0</v>
      </c>
      <c r="F153">
        <v>0</v>
      </c>
      <c r="G153">
        <v>1</v>
      </c>
    </row>
    <row r="154" spans="1:7" x14ac:dyDescent="0.2">
      <c r="A154">
        <v>40</v>
      </c>
      <c r="B154">
        <v>117.17</v>
      </c>
      <c r="C154" t="s">
        <v>238</v>
      </c>
      <c r="D154">
        <v>0</v>
      </c>
      <c r="E154">
        <v>1</v>
      </c>
      <c r="F154">
        <v>0</v>
      </c>
      <c r="G154">
        <v>0</v>
      </c>
    </row>
    <row r="155" spans="1:7" x14ac:dyDescent="0.2">
      <c r="A155">
        <v>40</v>
      </c>
      <c r="B155">
        <v>120.17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">
      <c r="A156">
        <v>40</v>
      </c>
      <c r="B156" t="s">
        <v>139</v>
      </c>
      <c r="C156" t="s">
        <v>176</v>
      </c>
      <c r="D156">
        <v>0</v>
      </c>
      <c r="E156">
        <v>0</v>
      </c>
      <c r="F156">
        <v>0</v>
      </c>
      <c r="G156">
        <v>0</v>
      </c>
    </row>
    <row r="157" spans="1:7" x14ac:dyDescent="0.2">
      <c r="A157">
        <v>40</v>
      </c>
      <c r="B157">
        <v>120.14</v>
      </c>
      <c r="C157" t="s">
        <v>239</v>
      </c>
      <c r="D157">
        <v>0</v>
      </c>
      <c r="E157">
        <v>0</v>
      </c>
      <c r="F157">
        <v>0</v>
      </c>
      <c r="G157">
        <v>1</v>
      </c>
    </row>
    <row r="158" spans="1:7" x14ac:dyDescent="0.2">
      <c r="A158">
        <v>41</v>
      </c>
      <c r="B158" t="s">
        <v>139</v>
      </c>
      <c r="C158" t="s">
        <v>240</v>
      </c>
      <c r="D158">
        <v>0</v>
      </c>
      <c r="E158">
        <v>0</v>
      </c>
      <c r="F158">
        <v>0</v>
      </c>
      <c r="G158">
        <v>0</v>
      </c>
    </row>
    <row r="159" spans="1:7" x14ac:dyDescent="0.2">
      <c r="A159">
        <v>41</v>
      </c>
      <c r="B159">
        <v>117.17</v>
      </c>
      <c r="C159" t="s">
        <v>241</v>
      </c>
      <c r="D159">
        <v>0</v>
      </c>
      <c r="E159">
        <v>1</v>
      </c>
      <c r="F159">
        <v>0</v>
      </c>
      <c r="G159">
        <v>0</v>
      </c>
    </row>
    <row r="160" spans="1:7" x14ac:dyDescent="0.2">
      <c r="A160">
        <v>41</v>
      </c>
      <c r="B160">
        <v>120.14</v>
      </c>
      <c r="C160" t="s">
        <v>242</v>
      </c>
      <c r="D160">
        <v>0</v>
      </c>
      <c r="E160">
        <v>1</v>
      </c>
      <c r="F160">
        <v>0</v>
      </c>
      <c r="G160">
        <v>0</v>
      </c>
    </row>
    <row r="161" spans="1:7" x14ac:dyDescent="0.2">
      <c r="A161">
        <v>41</v>
      </c>
      <c r="B161">
        <v>120.17</v>
      </c>
      <c r="C161" t="s">
        <v>243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42</v>
      </c>
      <c r="B162">
        <v>120.14</v>
      </c>
      <c r="C162" t="s">
        <v>244</v>
      </c>
      <c r="D162">
        <v>0</v>
      </c>
      <c r="E162">
        <v>0</v>
      </c>
      <c r="F162">
        <v>1</v>
      </c>
      <c r="G162">
        <v>0</v>
      </c>
    </row>
    <row r="163" spans="1:7" x14ac:dyDescent="0.2">
      <c r="A163">
        <v>42</v>
      </c>
      <c r="B163" t="s">
        <v>139</v>
      </c>
      <c r="C163" t="s">
        <v>245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42</v>
      </c>
      <c r="B164">
        <v>120.17</v>
      </c>
      <c r="C164" t="s">
        <v>246</v>
      </c>
      <c r="D164">
        <v>0</v>
      </c>
      <c r="E164">
        <v>0</v>
      </c>
      <c r="F164">
        <v>0</v>
      </c>
      <c r="G164">
        <v>0</v>
      </c>
    </row>
    <row r="165" spans="1:7" x14ac:dyDescent="0.2">
      <c r="A165">
        <v>42</v>
      </c>
      <c r="B165">
        <v>117.17</v>
      </c>
      <c r="C165" t="s">
        <v>247</v>
      </c>
      <c r="D165">
        <v>0</v>
      </c>
      <c r="E165">
        <v>0</v>
      </c>
      <c r="F165">
        <v>0</v>
      </c>
      <c r="G165">
        <v>1</v>
      </c>
    </row>
    <row r="166" spans="1:7" x14ac:dyDescent="0.2">
      <c r="A166">
        <v>43</v>
      </c>
      <c r="B166">
        <v>120.17</v>
      </c>
      <c r="C166" t="s">
        <v>248</v>
      </c>
      <c r="D166">
        <v>0</v>
      </c>
      <c r="E166">
        <v>0</v>
      </c>
      <c r="F166">
        <v>0</v>
      </c>
      <c r="G166">
        <v>1</v>
      </c>
    </row>
    <row r="167" spans="1:7" x14ac:dyDescent="0.2">
      <c r="A167">
        <v>43</v>
      </c>
      <c r="B167">
        <v>120.14</v>
      </c>
      <c r="C167" t="s">
        <v>249</v>
      </c>
      <c r="D167">
        <v>0</v>
      </c>
      <c r="E167">
        <v>1</v>
      </c>
      <c r="F167">
        <v>0</v>
      </c>
      <c r="G167">
        <v>0</v>
      </c>
    </row>
    <row r="168" spans="1:7" x14ac:dyDescent="0.2">
      <c r="A168">
        <v>43</v>
      </c>
      <c r="B168">
        <v>117.17</v>
      </c>
      <c r="C168" t="s">
        <v>250</v>
      </c>
      <c r="D168">
        <v>0</v>
      </c>
      <c r="E168">
        <v>0</v>
      </c>
      <c r="F168">
        <v>0</v>
      </c>
      <c r="G168">
        <v>1</v>
      </c>
    </row>
    <row r="169" spans="1:7" x14ac:dyDescent="0.2">
      <c r="A169">
        <v>43</v>
      </c>
      <c r="B169" t="s">
        <v>139</v>
      </c>
      <c r="C169" t="s">
        <v>251</v>
      </c>
      <c r="D169">
        <v>0</v>
      </c>
      <c r="E169">
        <v>1</v>
      </c>
      <c r="F169">
        <v>0</v>
      </c>
      <c r="G169">
        <v>0</v>
      </c>
    </row>
    <row r="170" spans="1:7" x14ac:dyDescent="0.2">
      <c r="A170">
        <v>44</v>
      </c>
      <c r="B170">
        <v>117.17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">
      <c r="A171">
        <v>44</v>
      </c>
      <c r="B171">
        <v>120.17</v>
      </c>
      <c r="C171" t="s">
        <v>234</v>
      </c>
      <c r="D171">
        <v>0</v>
      </c>
      <c r="E171">
        <v>0</v>
      </c>
      <c r="F171">
        <v>0</v>
      </c>
      <c r="G171">
        <v>0</v>
      </c>
    </row>
    <row r="172" spans="1:7" x14ac:dyDescent="0.2">
      <c r="A172">
        <v>44</v>
      </c>
      <c r="B172" t="s">
        <v>139</v>
      </c>
      <c r="C172" t="s">
        <v>252</v>
      </c>
      <c r="D172">
        <v>0</v>
      </c>
      <c r="E172">
        <v>0</v>
      </c>
      <c r="F172">
        <v>0</v>
      </c>
      <c r="G172">
        <v>0</v>
      </c>
    </row>
    <row r="173" spans="1:7" x14ac:dyDescent="0.2">
      <c r="A173">
        <v>44</v>
      </c>
      <c r="B173">
        <v>120.14</v>
      </c>
      <c r="C173" t="s">
        <v>253</v>
      </c>
      <c r="D173">
        <v>0</v>
      </c>
      <c r="E173">
        <v>0</v>
      </c>
      <c r="F173">
        <v>0</v>
      </c>
      <c r="G173">
        <v>0</v>
      </c>
    </row>
    <row r="174" spans="1:7" x14ac:dyDescent="0.2">
      <c r="A174">
        <v>45</v>
      </c>
      <c r="B174" t="s">
        <v>139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">
      <c r="A175">
        <v>45</v>
      </c>
      <c r="B175">
        <v>117.17</v>
      </c>
      <c r="C175" t="s">
        <v>158</v>
      </c>
      <c r="D175">
        <v>0</v>
      </c>
      <c r="E175">
        <v>1</v>
      </c>
      <c r="F175">
        <v>0</v>
      </c>
      <c r="G175">
        <v>0</v>
      </c>
    </row>
    <row r="176" spans="1:7" x14ac:dyDescent="0.2">
      <c r="A176">
        <v>45</v>
      </c>
      <c r="B176">
        <v>120.14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45</v>
      </c>
      <c r="B177">
        <v>120.17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46</v>
      </c>
      <c r="B178">
        <v>120.14</v>
      </c>
      <c r="C178" t="s">
        <v>254</v>
      </c>
      <c r="D178">
        <v>0</v>
      </c>
      <c r="E178">
        <v>0</v>
      </c>
      <c r="F178">
        <v>0</v>
      </c>
      <c r="G178">
        <v>0</v>
      </c>
    </row>
    <row r="179" spans="1:7" x14ac:dyDescent="0.2">
      <c r="A179">
        <v>46</v>
      </c>
      <c r="B179" t="s">
        <v>139</v>
      </c>
      <c r="C179" t="s">
        <v>255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46</v>
      </c>
      <c r="B180">
        <v>120.17</v>
      </c>
      <c r="C180" t="s">
        <v>158</v>
      </c>
      <c r="D180">
        <v>0</v>
      </c>
      <c r="E180">
        <v>1</v>
      </c>
      <c r="F180">
        <v>0</v>
      </c>
      <c r="G180">
        <v>0</v>
      </c>
    </row>
    <row r="181" spans="1:7" x14ac:dyDescent="0.2">
      <c r="A181">
        <v>46</v>
      </c>
      <c r="B181">
        <v>117.17</v>
      </c>
      <c r="C181" t="s">
        <v>256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47</v>
      </c>
      <c r="B182">
        <v>120.17</v>
      </c>
      <c r="C182" t="s">
        <v>164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47</v>
      </c>
      <c r="B183">
        <v>120.14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">
      <c r="A184">
        <v>47</v>
      </c>
      <c r="B184">
        <v>117.17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">
      <c r="A185">
        <v>47</v>
      </c>
      <c r="B185" t="s">
        <v>139</v>
      </c>
      <c r="C185" t="s">
        <v>158</v>
      </c>
      <c r="D185">
        <v>0</v>
      </c>
      <c r="E185">
        <v>1</v>
      </c>
      <c r="F185">
        <v>0</v>
      </c>
      <c r="G185">
        <v>0</v>
      </c>
    </row>
    <row r="186" spans="1:7" x14ac:dyDescent="0.2">
      <c r="A186">
        <v>48</v>
      </c>
      <c r="B186">
        <v>117.17</v>
      </c>
      <c r="C186" t="s">
        <v>257</v>
      </c>
      <c r="D186">
        <v>0</v>
      </c>
      <c r="E186">
        <v>1</v>
      </c>
      <c r="F186">
        <v>0</v>
      </c>
      <c r="G186">
        <v>0</v>
      </c>
    </row>
    <row r="187" spans="1:7" x14ac:dyDescent="0.2">
      <c r="A187">
        <v>48</v>
      </c>
      <c r="B187">
        <v>120.17</v>
      </c>
      <c r="C187" t="s">
        <v>258</v>
      </c>
      <c r="D187">
        <v>0</v>
      </c>
      <c r="E187">
        <v>0</v>
      </c>
      <c r="F187">
        <v>0</v>
      </c>
      <c r="G187">
        <v>0</v>
      </c>
    </row>
    <row r="188" spans="1:7" x14ac:dyDescent="0.2">
      <c r="A188">
        <v>48</v>
      </c>
      <c r="B188" t="s">
        <v>139</v>
      </c>
      <c r="C188" t="s">
        <v>259</v>
      </c>
      <c r="D188">
        <v>0</v>
      </c>
      <c r="E188">
        <v>0</v>
      </c>
      <c r="F188">
        <v>0</v>
      </c>
      <c r="G188">
        <v>1</v>
      </c>
    </row>
    <row r="189" spans="1:7" x14ac:dyDescent="0.2">
      <c r="A189">
        <v>48</v>
      </c>
      <c r="B189">
        <v>120.14</v>
      </c>
      <c r="C189" t="s">
        <v>260</v>
      </c>
      <c r="D189">
        <v>0</v>
      </c>
      <c r="E189">
        <v>1</v>
      </c>
      <c r="F189">
        <v>0</v>
      </c>
      <c r="G189">
        <v>0</v>
      </c>
    </row>
    <row r="190" spans="1:7" x14ac:dyDescent="0.2">
      <c r="A190">
        <v>49</v>
      </c>
      <c r="B190" t="s">
        <v>139</v>
      </c>
      <c r="C190" t="s">
        <v>261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49</v>
      </c>
      <c r="B191">
        <v>117.17</v>
      </c>
      <c r="C191" t="s">
        <v>262</v>
      </c>
      <c r="D191">
        <v>0</v>
      </c>
      <c r="E191">
        <v>0</v>
      </c>
      <c r="F191">
        <v>0</v>
      </c>
      <c r="G191">
        <v>1</v>
      </c>
    </row>
    <row r="192" spans="1:7" x14ac:dyDescent="0.2">
      <c r="A192">
        <v>49</v>
      </c>
      <c r="B192">
        <v>120.14</v>
      </c>
      <c r="C192" t="s">
        <v>263</v>
      </c>
      <c r="D192">
        <v>0</v>
      </c>
      <c r="E192">
        <v>0</v>
      </c>
      <c r="F192">
        <v>0</v>
      </c>
      <c r="G192">
        <v>0</v>
      </c>
    </row>
    <row r="193" spans="1:7" x14ac:dyDescent="0.2">
      <c r="A193">
        <v>49</v>
      </c>
      <c r="B193">
        <v>120.17</v>
      </c>
      <c r="C193" t="s">
        <v>206</v>
      </c>
      <c r="D193">
        <v>0</v>
      </c>
      <c r="E193">
        <v>0</v>
      </c>
      <c r="F193">
        <v>0</v>
      </c>
      <c r="G193">
        <v>0</v>
      </c>
    </row>
    <row r="194" spans="1:7" x14ac:dyDescent="0.2">
      <c r="A194">
        <v>50</v>
      </c>
      <c r="B194">
        <v>120.14</v>
      </c>
      <c r="C194" t="s">
        <v>264</v>
      </c>
      <c r="D194">
        <v>0</v>
      </c>
      <c r="E194">
        <v>0</v>
      </c>
      <c r="F194">
        <v>0</v>
      </c>
      <c r="G194">
        <v>0</v>
      </c>
    </row>
    <row r="195" spans="1:7" x14ac:dyDescent="0.2">
      <c r="A195">
        <v>50</v>
      </c>
      <c r="B195" t="s">
        <v>139</v>
      </c>
      <c r="C195" t="s">
        <v>265</v>
      </c>
      <c r="D195">
        <v>0</v>
      </c>
      <c r="E195">
        <v>0</v>
      </c>
      <c r="F195">
        <v>0</v>
      </c>
      <c r="G195">
        <v>0</v>
      </c>
    </row>
    <row r="196" spans="1:7" x14ac:dyDescent="0.2">
      <c r="A196">
        <v>50</v>
      </c>
      <c r="B196">
        <v>120.17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">
      <c r="A197">
        <v>50</v>
      </c>
      <c r="B197">
        <v>117.17</v>
      </c>
      <c r="C197" t="s">
        <v>142</v>
      </c>
      <c r="D197">
        <v>0</v>
      </c>
      <c r="E197">
        <v>1</v>
      </c>
      <c r="F197">
        <v>0</v>
      </c>
      <c r="G197">
        <v>0</v>
      </c>
    </row>
    <row r="198" spans="1:7" x14ac:dyDescent="0.2">
      <c r="A198">
        <v>51</v>
      </c>
      <c r="B198">
        <v>120.17</v>
      </c>
      <c r="C198" t="s">
        <v>164</v>
      </c>
      <c r="D198">
        <v>0</v>
      </c>
      <c r="E198">
        <v>0</v>
      </c>
      <c r="F198">
        <v>0</v>
      </c>
      <c r="G198">
        <v>0</v>
      </c>
    </row>
    <row r="199" spans="1:7" x14ac:dyDescent="0.2">
      <c r="A199">
        <v>51</v>
      </c>
      <c r="B199">
        <v>120.14</v>
      </c>
      <c r="C199" t="s">
        <v>158</v>
      </c>
      <c r="D199">
        <v>0</v>
      </c>
      <c r="E199">
        <v>1</v>
      </c>
      <c r="F199">
        <v>0</v>
      </c>
      <c r="G199">
        <v>0</v>
      </c>
    </row>
    <row r="200" spans="1:7" x14ac:dyDescent="0.2">
      <c r="A200">
        <v>51</v>
      </c>
      <c r="B200">
        <v>117.17</v>
      </c>
      <c r="C200" t="s">
        <v>158</v>
      </c>
      <c r="D200">
        <v>0</v>
      </c>
      <c r="E200">
        <v>1</v>
      </c>
      <c r="F200">
        <v>0</v>
      </c>
      <c r="G200">
        <v>0</v>
      </c>
    </row>
    <row r="201" spans="1:7" x14ac:dyDescent="0.2">
      <c r="A201">
        <v>51</v>
      </c>
      <c r="B201" t="s">
        <v>139</v>
      </c>
      <c r="C201" t="s">
        <v>164</v>
      </c>
      <c r="D201">
        <v>0</v>
      </c>
      <c r="E201">
        <v>0</v>
      </c>
      <c r="F201">
        <v>0</v>
      </c>
      <c r="G201">
        <v>0</v>
      </c>
    </row>
    <row r="202" spans="1:7" x14ac:dyDescent="0.2">
      <c r="A202">
        <v>52</v>
      </c>
      <c r="B202">
        <v>117.17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">
      <c r="A203">
        <v>52</v>
      </c>
      <c r="B203">
        <v>120.17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52</v>
      </c>
      <c r="B204" t="s">
        <v>139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">
      <c r="A205">
        <v>52</v>
      </c>
      <c r="B205">
        <v>120.14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">
      <c r="A206">
        <v>53</v>
      </c>
      <c r="B206" t="s">
        <v>139</v>
      </c>
      <c r="C206" t="s">
        <v>266</v>
      </c>
      <c r="D206">
        <v>0</v>
      </c>
      <c r="E206">
        <v>0</v>
      </c>
      <c r="F206">
        <v>0</v>
      </c>
      <c r="G206">
        <v>1</v>
      </c>
    </row>
    <row r="207" spans="1:7" x14ac:dyDescent="0.2">
      <c r="A207">
        <v>53</v>
      </c>
      <c r="B207">
        <v>117.17</v>
      </c>
      <c r="C207" t="s">
        <v>267</v>
      </c>
      <c r="D207">
        <v>0</v>
      </c>
      <c r="E207">
        <v>1</v>
      </c>
      <c r="F207">
        <v>0</v>
      </c>
      <c r="G207">
        <v>0</v>
      </c>
    </row>
    <row r="208" spans="1:7" x14ac:dyDescent="0.2">
      <c r="A208">
        <v>53</v>
      </c>
      <c r="B208">
        <v>120.14</v>
      </c>
      <c r="C208" t="s">
        <v>268</v>
      </c>
      <c r="D208">
        <v>0</v>
      </c>
      <c r="E208">
        <v>0</v>
      </c>
      <c r="F208">
        <v>0</v>
      </c>
      <c r="G208">
        <v>1</v>
      </c>
    </row>
    <row r="209" spans="1:7" x14ac:dyDescent="0.2">
      <c r="A209">
        <v>53</v>
      </c>
      <c r="B209">
        <v>120.17</v>
      </c>
      <c r="C209" t="s">
        <v>269</v>
      </c>
      <c r="D209">
        <v>0</v>
      </c>
      <c r="E209">
        <v>1</v>
      </c>
      <c r="F209">
        <v>0</v>
      </c>
      <c r="G209">
        <v>0</v>
      </c>
    </row>
    <row r="210" spans="1:7" x14ac:dyDescent="0.2">
      <c r="A210">
        <v>54</v>
      </c>
      <c r="B210">
        <v>120.14</v>
      </c>
      <c r="C210" t="s">
        <v>270</v>
      </c>
      <c r="D210">
        <v>0</v>
      </c>
      <c r="E210">
        <v>0</v>
      </c>
      <c r="F210">
        <v>0</v>
      </c>
      <c r="G210">
        <v>1</v>
      </c>
    </row>
    <row r="211" spans="1:7" x14ac:dyDescent="0.2">
      <c r="A211">
        <v>54</v>
      </c>
      <c r="B211" t="s">
        <v>139</v>
      </c>
      <c r="C211" t="s">
        <v>271</v>
      </c>
      <c r="D211">
        <v>0</v>
      </c>
      <c r="E211">
        <v>0</v>
      </c>
      <c r="F211">
        <v>0</v>
      </c>
      <c r="G211">
        <v>0</v>
      </c>
    </row>
    <row r="212" spans="1:7" x14ac:dyDescent="0.2">
      <c r="A212">
        <v>54</v>
      </c>
      <c r="B212">
        <v>120.17</v>
      </c>
      <c r="C212" t="s">
        <v>272</v>
      </c>
      <c r="D212">
        <v>1</v>
      </c>
      <c r="E212">
        <v>0</v>
      </c>
      <c r="F212">
        <v>0</v>
      </c>
      <c r="G212">
        <v>1</v>
      </c>
    </row>
    <row r="213" spans="1:7" x14ac:dyDescent="0.2">
      <c r="A213">
        <v>54</v>
      </c>
      <c r="B213">
        <v>117.17</v>
      </c>
      <c r="C213" t="s">
        <v>273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55</v>
      </c>
      <c r="B214">
        <v>120.17</v>
      </c>
      <c r="C214" t="s">
        <v>164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55</v>
      </c>
      <c r="B215">
        <v>120.14</v>
      </c>
      <c r="C215" t="s">
        <v>274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55</v>
      </c>
      <c r="B216">
        <v>117.17</v>
      </c>
      <c r="C216" t="s">
        <v>232</v>
      </c>
      <c r="D216">
        <v>0</v>
      </c>
      <c r="E216">
        <v>1</v>
      </c>
      <c r="F216">
        <v>0</v>
      </c>
      <c r="G216">
        <v>1</v>
      </c>
    </row>
    <row r="217" spans="1:7" x14ac:dyDescent="0.2">
      <c r="A217">
        <v>55</v>
      </c>
      <c r="B217" t="s">
        <v>139</v>
      </c>
      <c r="C217" t="s">
        <v>275</v>
      </c>
      <c r="D217">
        <v>1</v>
      </c>
      <c r="E217">
        <v>1</v>
      </c>
      <c r="F217">
        <v>0</v>
      </c>
      <c r="G217">
        <v>0</v>
      </c>
    </row>
    <row r="218" spans="1:7" x14ac:dyDescent="0.2">
      <c r="A218">
        <v>56</v>
      </c>
      <c r="B218">
        <v>117.17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56</v>
      </c>
      <c r="B219">
        <v>120.17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56</v>
      </c>
      <c r="B220" t="s">
        <v>139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">
      <c r="A221">
        <v>56</v>
      </c>
      <c r="B221">
        <v>120.14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">
      <c r="A222">
        <v>57</v>
      </c>
      <c r="B222" t="s">
        <v>139</v>
      </c>
      <c r="C222" t="s">
        <v>164</v>
      </c>
      <c r="D222">
        <v>0</v>
      </c>
      <c r="E222">
        <v>0</v>
      </c>
      <c r="F222">
        <v>0</v>
      </c>
      <c r="G222">
        <v>0</v>
      </c>
    </row>
    <row r="223" spans="1:7" x14ac:dyDescent="0.2">
      <c r="A223">
        <v>57</v>
      </c>
      <c r="B223">
        <v>117.17</v>
      </c>
      <c r="C223" t="s">
        <v>276</v>
      </c>
      <c r="D223">
        <v>0</v>
      </c>
      <c r="E223">
        <v>0</v>
      </c>
      <c r="F223">
        <v>0</v>
      </c>
      <c r="G223">
        <v>1</v>
      </c>
    </row>
    <row r="224" spans="1:7" x14ac:dyDescent="0.2">
      <c r="A224">
        <v>57</v>
      </c>
      <c r="B224">
        <v>120.14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">
      <c r="A225">
        <v>57</v>
      </c>
      <c r="B225">
        <v>120.17</v>
      </c>
      <c r="C225" t="s">
        <v>164</v>
      </c>
      <c r="D225">
        <v>0</v>
      </c>
      <c r="E225">
        <v>0</v>
      </c>
      <c r="F225">
        <v>0</v>
      </c>
      <c r="G225">
        <v>0</v>
      </c>
    </row>
    <row r="226" spans="1:7" x14ac:dyDescent="0.2">
      <c r="A226">
        <v>58</v>
      </c>
      <c r="B226">
        <v>120.14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">
      <c r="A227">
        <v>58</v>
      </c>
      <c r="B227" t="s">
        <v>139</v>
      </c>
      <c r="C227" t="s">
        <v>190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58</v>
      </c>
      <c r="B228">
        <v>120.17</v>
      </c>
      <c r="C228" t="s">
        <v>158</v>
      </c>
      <c r="D228">
        <v>0</v>
      </c>
      <c r="E228">
        <v>1</v>
      </c>
      <c r="F228">
        <v>0</v>
      </c>
      <c r="G228">
        <v>0</v>
      </c>
    </row>
    <row r="229" spans="1:7" x14ac:dyDescent="0.2">
      <c r="A229">
        <v>58</v>
      </c>
      <c r="B229">
        <v>117.17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59</v>
      </c>
      <c r="B230">
        <v>120.17</v>
      </c>
      <c r="C230" t="s">
        <v>164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59</v>
      </c>
      <c r="B231">
        <v>120.14</v>
      </c>
      <c r="C231" t="s">
        <v>277</v>
      </c>
      <c r="D231">
        <v>0</v>
      </c>
      <c r="E231">
        <v>1</v>
      </c>
      <c r="F231">
        <v>0</v>
      </c>
      <c r="G231">
        <v>0</v>
      </c>
    </row>
    <row r="232" spans="1:7" x14ac:dyDescent="0.2">
      <c r="A232">
        <v>59</v>
      </c>
      <c r="B232">
        <v>117.17</v>
      </c>
      <c r="C232" t="s">
        <v>278</v>
      </c>
      <c r="D232">
        <v>1</v>
      </c>
      <c r="E232">
        <v>0</v>
      </c>
      <c r="F232">
        <v>0</v>
      </c>
      <c r="G232">
        <v>0</v>
      </c>
    </row>
    <row r="233" spans="1:7" x14ac:dyDescent="0.2">
      <c r="A233">
        <v>59</v>
      </c>
      <c r="B233" t="s">
        <v>139</v>
      </c>
      <c r="C233" t="s">
        <v>279</v>
      </c>
      <c r="D233">
        <v>0</v>
      </c>
      <c r="E233">
        <v>0</v>
      </c>
      <c r="F233">
        <v>0</v>
      </c>
      <c r="G233">
        <v>0</v>
      </c>
    </row>
    <row r="234" spans="1:7" x14ac:dyDescent="0.2">
      <c r="A234">
        <v>60</v>
      </c>
      <c r="B234">
        <v>117.17</v>
      </c>
      <c r="C234" t="s">
        <v>280</v>
      </c>
      <c r="D234">
        <v>0</v>
      </c>
      <c r="E234">
        <v>0</v>
      </c>
      <c r="F234">
        <v>0</v>
      </c>
      <c r="G234">
        <v>0</v>
      </c>
    </row>
    <row r="235" spans="1:7" x14ac:dyDescent="0.2">
      <c r="A235">
        <v>60</v>
      </c>
      <c r="B235">
        <v>120.17</v>
      </c>
      <c r="C235" t="s">
        <v>281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60</v>
      </c>
      <c r="B236" t="s">
        <v>139</v>
      </c>
      <c r="C236" t="s">
        <v>282</v>
      </c>
      <c r="D236">
        <v>0</v>
      </c>
      <c r="E236">
        <v>0</v>
      </c>
      <c r="F236">
        <v>0</v>
      </c>
      <c r="G236">
        <v>1</v>
      </c>
    </row>
    <row r="237" spans="1:7" x14ac:dyDescent="0.2">
      <c r="A237">
        <v>60</v>
      </c>
      <c r="B237">
        <v>120.14</v>
      </c>
      <c r="C237" t="s">
        <v>283</v>
      </c>
      <c r="D237">
        <v>0</v>
      </c>
      <c r="E237">
        <v>0</v>
      </c>
      <c r="F237">
        <v>0</v>
      </c>
      <c r="G237">
        <v>0</v>
      </c>
    </row>
    <row r="238" spans="1:7" x14ac:dyDescent="0.2">
      <c r="A238">
        <v>61</v>
      </c>
      <c r="B238" t="s">
        <v>139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">
      <c r="A239">
        <v>61</v>
      </c>
      <c r="B239">
        <v>117.17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61</v>
      </c>
      <c r="B240">
        <v>120.14</v>
      </c>
      <c r="C240" t="s">
        <v>164</v>
      </c>
      <c r="D240">
        <v>0</v>
      </c>
      <c r="E240">
        <v>0</v>
      </c>
      <c r="F240">
        <v>0</v>
      </c>
      <c r="G240">
        <v>0</v>
      </c>
    </row>
    <row r="241" spans="1:7" x14ac:dyDescent="0.2">
      <c r="A241">
        <v>61</v>
      </c>
      <c r="B241">
        <v>120.17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62</v>
      </c>
      <c r="B242">
        <v>120.14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62</v>
      </c>
      <c r="B243" t="s">
        <v>139</v>
      </c>
      <c r="C243" t="s">
        <v>164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62</v>
      </c>
      <c r="B244">
        <v>120.17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62</v>
      </c>
      <c r="B245">
        <v>117.17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">
      <c r="A246">
        <v>63</v>
      </c>
      <c r="B246">
        <v>120.17</v>
      </c>
      <c r="C246" t="s">
        <v>284</v>
      </c>
      <c r="D246">
        <v>0</v>
      </c>
      <c r="E246">
        <v>0</v>
      </c>
      <c r="F246">
        <v>0</v>
      </c>
      <c r="G246">
        <v>1</v>
      </c>
    </row>
    <row r="247" spans="1:7" x14ac:dyDescent="0.2">
      <c r="A247">
        <v>63</v>
      </c>
      <c r="B247">
        <v>120.14</v>
      </c>
      <c r="C247" t="s">
        <v>285</v>
      </c>
      <c r="D247">
        <v>0</v>
      </c>
      <c r="E247">
        <v>1</v>
      </c>
      <c r="F247">
        <v>0</v>
      </c>
      <c r="G247">
        <v>0</v>
      </c>
    </row>
    <row r="248" spans="1:7" x14ac:dyDescent="0.2">
      <c r="A248">
        <v>63</v>
      </c>
      <c r="B248">
        <v>117.17</v>
      </c>
      <c r="C248" t="s">
        <v>286</v>
      </c>
      <c r="D248">
        <v>0</v>
      </c>
      <c r="E248">
        <v>0</v>
      </c>
      <c r="F248">
        <v>0</v>
      </c>
      <c r="G248">
        <v>0</v>
      </c>
    </row>
    <row r="249" spans="1:7" x14ac:dyDescent="0.2">
      <c r="A249">
        <v>63</v>
      </c>
      <c r="B249" t="s">
        <v>139</v>
      </c>
      <c r="C249" t="s">
        <v>164</v>
      </c>
      <c r="D249">
        <v>0</v>
      </c>
      <c r="E249">
        <v>0</v>
      </c>
      <c r="F249">
        <v>0</v>
      </c>
      <c r="G249">
        <v>0</v>
      </c>
    </row>
    <row r="250" spans="1:7" x14ac:dyDescent="0.2">
      <c r="A250">
        <v>65</v>
      </c>
      <c r="B250" t="s">
        <v>139</v>
      </c>
      <c r="C250" t="s">
        <v>287</v>
      </c>
      <c r="D250">
        <v>0</v>
      </c>
      <c r="E250">
        <v>1</v>
      </c>
      <c r="F250">
        <v>0</v>
      </c>
      <c r="G250">
        <v>0</v>
      </c>
    </row>
    <row r="251" spans="1:7" x14ac:dyDescent="0.2">
      <c r="A251">
        <v>65</v>
      </c>
      <c r="B251">
        <v>117.17</v>
      </c>
      <c r="C251" t="s">
        <v>288</v>
      </c>
      <c r="D251">
        <v>0</v>
      </c>
      <c r="E251">
        <v>0</v>
      </c>
      <c r="F251">
        <v>0</v>
      </c>
      <c r="G251">
        <v>1</v>
      </c>
    </row>
    <row r="252" spans="1:7" x14ac:dyDescent="0.2">
      <c r="A252">
        <v>65</v>
      </c>
      <c r="B252">
        <v>120.14</v>
      </c>
      <c r="C252" t="s">
        <v>289</v>
      </c>
      <c r="D252">
        <v>0</v>
      </c>
      <c r="E252">
        <v>0</v>
      </c>
      <c r="F252">
        <v>0</v>
      </c>
      <c r="G252">
        <v>0</v>
      </c>
    </row>
    <row r="253" spans="1:7" x14ac:dyDescent="0.2">
      <c r="A253">
        <v>65</v>
      </c>
      <c r="B253">
        <v>120.17</v>
      </c>
      <c r="C253" t="s">
        <v>290</v>
      </c>
      <c r="D253">
        <v>0</v>
      </c>
      <c r="E253">
        <v>0</v>
      </c>
      <c r="F253">
        <v>0</v>
      </c>
      <c r="G253">
        <v>1</v>
      </c>
    </row>
    <row r="254" spans="1:7" x14ac:dyDescent="0.2">
      <c r="A254">
        <v>66</v>
      </c>
      <c r="B254">
        <v>120.14</v>
      </c>
      <c r="C254" t="s">
        <v>291</v>
      </c>
      <c r="D254">
        <v>0</v>
      </c>
      <c r="E254">
        <v>0</v>
      </c>
      <c r="F254">
        <v>0</v>
      </c>
      <c r="G254">
        <v>0</v>
      </c>
    </row>
    <row r="255" spans="1:7" x14ac:dyDescent="0.2">
      <c r="A255">
        <v>66</v>
      </c>
      <c r="B255" t="s">
        <v>139</v>
      </c>
      <c r="C255" t="s">
        <v>292</v>
      </c>
      <c r="D255">
        <v>0</v>
      </c>
      <c r="E255">
        <v>0</v>
      </c>
      <c r="F255">
        <v>0</v>
      </c>
      <c r="G255">
        <v>0</v>
      </c>
    </row>
    <row r="256" spans="1:7" x14ac:dyDescent="0.2">
      <c r="A256">
        <v>66</v>
      </c>
      <c r="B256">
        <v>120.17</v>
      </c>
      <c r="C256" t="s">
        <v>293</v>
      </c>
      <c r="D256">
        <v>0</v>
      </c>
      <c r="E256">
        <v>0</v>
      </c>
      <c r="F256">
        <v>0</v>
      </c>
      <c r="G256">
        <v>0</v>
      </c>
    </row>
    <row r="257" spans="1:7" x14ac:dyDescent="0.2">
      <c r="A257">
        <v>66</v>
      </c>
      <c r="B257">
        <v>117.17</v>
      </c>
      <c r="C257" t="s">
        <v>283</v>
      </c>
      <c r="D257">
        <v>0</v>
      </c>
      <c r="E257">
        <v>0</v>
      </c>
      <c r="F257">
        <v>0</v>
      </c>
      <c r="G257">
        <v>0</v>
      </c>
    </row>
    <row r="258" spans="1:7" x14ac:dyDescent="0.2">
      <c r="A258">
        <v>67</v>
      </c>
      <c r="B258">
        <v>120.17</v>
      </c>
      <c r="C258" t="s">
        <v>294</v>
      </c>
      <c r="D258">
        <v>0</v>
      </c>
      <c r="E258">
        <v>1</v>
      </c>
      <c r="F258">
        <v>0</v>
      </c>
      <c r="G258">
        <v>0</v>
      </c>
    </row>
    <row r="259" spans="1:7" x14ac:dyDescent="0.2">
      <c r="A259">
        <v>67</v>
      </c>
      <c r="B259">
        <v>120.14</v>
      </c>
      <c r="C259" t="s">
        <v>295</v>
      </c>
      <c r="D259">
        <v>1</v>
      </c>
      <c r="E259">
        <v>0</v>
      </c>
      <c r="F259">
        <v>0</v>
      </c>
      <c r="G259">
        <v>0</v>
      </c>
    </row>
    <row r="260" spans="1:7" x14ac:dyDescent="0.2">
      <c r="A260">
        <v>67</v>
      </c>
      <c r="B260">
        <v>117.17</v>
      </c>
      <c r="C260" t="s">
        <v>296</v>
      </c>
      <c r="D260">
        <v>1</v>
      </c>
      <c r="E260">
        <v>1</v>
      </c>
      <c r="F260">
        <v>0</v>
      </c>
      <c r="G260">
        <v>0</v>
      </c>
    </row>
    <row r="261" spans="1:7" x14ac:dyDescent="0.2">
      <c r="A261">
        <v>67</v>
      </c>
      <c r="B261" t="s">
        <v>139</v>
      </c>
      <c r="C261" t="s">
        <v>297</v>
      </c>
      <c r="D261">
        <v>0</v>
      </c>
      <c r="E261">
        <v>1</v>
      </c>
      <c r="F261">
        <v>0</v>
      </c>
      <c r="G261">
        <v>0</v>
      </c>
    </row>
    <row r="262" spans="1:7" x14ac:dyDescent="0.2">
      <c r="A262">
        <v>70</v>
      </c>
      <c r="B262">
        <v>120.14</v>
      </c>
      <c r="C262" t="s">
        <v>164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70</v>
      </c>
      <c r="B263" t="s">
        <v>139</v>
      </c>
      <c r="C263" t="s">
        <v>149</v>
      </c>
      <c r="D263">
        <v>0</v>
      </c>
      <c r="E263">
        <v>0</v>
      </c>
      <c r="F263">
        <v>0</v>
      </c>
      <c r="G263">
        <v>0</v>
      </c>
    </row>
    <row r="264" spans="1:7" x14ac:dyDescent="0.2">
      <c r="A264">
        <v>70</v>
      </c>
      <c r="B264">
        <v>120.17</v>
      </c>
      <c r="C264" t="s">
        <v>298</v>
      </c>
      <c r="D264">
        <v>0</v>
      </c>
      <c r="E264">
        <v>0</v>
      </c>
      <c r="F264">
        <v>0</v>
      </c>
      <c r="G264">
        <v>0</v>
      </c>
    </row>
    <row r="265" spans="1:7" x14ac:dyDescent="0.2">
      <c r="A265">
        <v>70</v>
      </c>
      <c r="B265">
        <v>117.17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">
      <c r="A266">
        <v>71</v>
      </c>
      <c r="B266">
        <v>120.17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">
      <c r="A267">
        <v>71</v>
      </c>
      <c r="B267">
        <v>120.14</v>
      </c>
      <c r="C267" t="s">
        <v>299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71</v>
      </c>
      <c r="B268">
        <v>117.17</v>
      </c>
      <c r="C268" t="s">
        <v>142</v>
      </c>
      <c r="D268">
        <v>0</v>
      </c>
      <c r="E268">
        <v>1</v>
      </c>
      <c r="F268">
        <v>0</v>
      </c>
      <c r="G268">
        <v>0</v>
      </c>
    </row>
    <row r="269" spans="1:7" x14ac:dyDescent="0.2">
      <c r="A269">
        <v>71</v>
      </c>
      <c r="B269" t="s">
        <v>139</v>
      </c>
      <c r="C269" t="s">
        <v>176</v>
      </c>
      <c r="D269">
        <v>0</v>
      </c>
      <c r="E269">
        <v>0</v>
      </c>
      <c r="F269">
        <v>0</v>
      </c>
      <c r="G269">
        <v>0</v>
      </c>
    </row>
    <row r="270" spans="1:7" x14ac:dyDescent="0.2">
      <c r="A270">
        <v>72</v>
      </c>
      <c r="B270">
        <v>117.17</v>
      </c>
      <c r="C270" t="s">
        <v>300</v>
      </c>
      <c r="D270">
        <v>0</v>
      </c>
      <c r="E270">
        <v>0</v>
      </c>
      <c r="F270">
        <v>0</v>
      </c>
      <c r="G270">
        <v>0</v>
      </c>
    </row>
    <row r="271" spans="1:7" x14ac:dyDescent="0.2">
      <c r="A271">
        <v>72</v>
      </c>
      <c r="B271">
        <v>120.17</v>
      </c>
      <c r="C271" t="s">
        <v>301</v>
      </c>
      <c r="D271">
        <v>1</v>
      </c>
      <c r="E271">
        <v>0</v>
      </c>
      <c r="F271">
        <v>0</v>
      </c>
      <c r="G271">
        <v>0</v>
      </c>
    </row>
    <row r="272" spans="1:7" x14ac:dyDescent="0.2">
      <c r="A272">
        <v>72</v>
      </c>
      <c r="B272" t="s">
        <v>139</v>
      </c>
      <c r="C272" t="s">
        <v>302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72</v>
      </c>
      <c r="B273">
        <v>120.14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">
      <c r="A274">
        <v>73</v>
      </c>
      <c r="B274" t="s">
        <v>139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">
      <c r="A275">
        <v>73</v>
      </c>
      <c r="B275">
        <v>117.17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73</v>
      </c>
      <c r="B276">
        <v>120.14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73</v>
      </c>
      <c r="B277">
        <v>120.17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">
      <c r="A278">
        <v>74</v>
      </c>
      <c r="B278">
        <v>120.14</v>
      </c>
      <c r="C278" t="s">
        <v>164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74</v>
      </c>
      <c r="B279" t="s">
        <v>139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">
      <c r="A280">
        <v>74</v>
      </c>
      <c r="B280">
        <v>120.17</v>
      </c>
      <c r="C280" t="s">
        <v>163</v>
      </c>
      <c r="D280">
        <v>0</v>
      </c>
      <c r="E280">
        <v>0</v>
      </c>
      <c r="F280">
        <v>0</v>
      </c>
      <c r="G280">
        <v>0</v>
      </c>
    </row>
    <row r="281" spans="1:7" x14ac:dyDescent="0.2">
      <c r="A281">
        <v>74</v>
      </c>
      <c r="B281">
        <v>117.17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">
      <c r="A282">
        <v>75</v>
      </c>
      <c r="B282">
        <v>120.17</v>
      </c>
      <c r="C282" t="s">
        <v>303</v>
      </c>
      <c r="D282">
        <v>0</v>
      </c>
      <c r="E282">
        <v>1</v>
      </c>
      <c r="F282">
        <v>0</v>
      </c>
      <c r="G282">
        <v>0</v>
      </c>
    </row>
    <row r="283" spans="1:7" x14ac:dyDescent="0.2">
      <c r="A283">
        <v>75</v>
      </c>
      <c r="B283">
        <v>120.14</v>
      </c>
      <c r="C283" t="s">
        <v>304</v>
      </c>
      <c r="D283">
        <v>0</v>
      </c>
      <c r="E283">
        <v>1</v>
      </c>
      <c r="F283">
        <v>0</v>
      </c>
      <c r="G283">
        <v>1</v>
      </c>
    </row>
    <row r="284" spans="1:7" x14ac:dyDescent="0.2">
      <c r="A284">
        <v>75</v>
      </c>
      <c r="B284">
        <v>117.17</v>
      </c>
      <c r="C284" t="s">
        <v>22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75</v>
      </c>
      <c r="B285" t="s">
        <v>139</v>
      </c>
      <c r="C285" t="s">
        <v>305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76</v>
      </c>
      <c r="B286">
        <v>117.17</v>
      </c>
      <c r="C286" t="s">
        <v>306</v>
      </c>
      <c r="D286">
        <v>0</v>
      </c>
      <c r="E286">
        <v>0</v>
      </c>
      <c r="F286">
        <v>0</v>
      </c>
      <c r="G286">
        <v>0</v>
      </c>
    </row>
    <row r="287" spans="1:7" x14ac:dyDescent="0.2">
      <c r="A287">
        <v>76</v>
      </c>
      <c r="B287">
        <v>120.17</v>
      </c>
      <c r="C287" t="s">
        <v>307</v>
      </c>
      <c r="D287">
        <v>0</v>
      </c>
      <c r="E287">
        <v>1</v>
      </c>
      <c r="F287">
        <v>0</v>
      </c>
      <c r="G287">
        <v>0</v>
      </c>
    </row>
    <row r="288" spans="1:7" x14ac:dyDescent="0.2">
      <c r="A288">
        <v>76</v>
      </c>
      <c r="B288" t="s">
        <v>139</v>
      </c>
      <c r="C288" t="s">
        <v>308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76</v>
      </c>
      <c r="B289">
        <v>120.14</v>
      </c>
      <c r="C289" t="s">
        <v>173</v>
      </c>
      <c r="D289">
        <v>0</v>
      </c>
      <c r="E289">
        <v>0</v>
      </c>
      <c r="F289">
        <v>0</v>
      </c>
      <c r="G289">
        <v>0</v>
      </c>
    </row>
    <row r="290" spans="1:7" x14ac:dyDescent="0.2">
      <c r="A290">
        <v>77</v>
      </c>
      <c r="B290" t="s">
        <v>139</v>
      </c>
      <c r="C290" t="s">
        <v>174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77</v>
      </c>
      <c r="B291">
        <v>117.17</v>
      </c>
      <c r="C291" t="s">
        <v>309</v>
      </c>
      <c r="D291">
        <v>0</v>
      </c>
      <c r="E291">
        <v>0</v>
      </c>
      <c r="F291">
        <v>0</v>
      </c>
      <c r="G291">
        <v>1</v>
      </c>
    </row>
    <row r="292" spans="1:7" x14ac:dyDescent="0.2">
      <c r="A292">
        <v>77</v>
      </c>
      <c r="B292">
        <v>120.14</v>
      </c>
      <c r="C292" t="s">
        <v>310</v>
      </c>
      <c r="D292">
        <v>0</v>
      </c>
      <c r="E292">
        <v>0</v>
      </c>
      <c r="F292">
        <v>0</v>
      </c>
      <c r="G292">
        <v>1</v>
      </c>
    </row>
    <row r="293" spans="1:7" x14ac:dyDescent="0.2">
      <c r="A293">
        <v>77</v>
      </c>
      <c r="B293">
        <v>120.17</v>
      </c>
      <c r="C293" t="s">
        <v>311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82</v>
      </c>
      <c r="B294" t="s">
        <v>139</v>
      </c>
      <c r="C294" t="s">
        <v>312</v>
      </c>
      <c r="D294">
        <v>0</v>
      </c>
      <c r="E294">
        <v>0</v>
      </c>
      <c r="F294">
        <v>0</v>
      </c>
      <c r="G294">
        <v>0</v>
      </c>
    </row>
    <row r="295" spans="1:7" x14ac:dyDescent="0.2">
      <c r="A295">
        <v>82</v>
      </c>
      <c r="B295">
        <v>120.17</v>
      </c>
      <c r="C295" t="s">
        <v>313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82</v>
      </c>
      <c r="B296">
        <v>120.14</v>
      </c>
      <c r="C296" t="s">
        <v>314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82</v>
      </c>
      <c r="B297">
        <v>117.17</v>
      </c>
      <c r="C297" t="s">
        <v>315</v>
      </c>
      <c r="D297">
        <v>1</v>
      </c>
      <c r="E297">
        <v>0</v>
      </c>
      <c r="F297">
        <v>0</v>
      </c>
      <c r="G297">
        <v>0</v>
      </c>
    </row>
    <row r="298" spans="1:7" x14ac:dyDescent="0.2">
      <c r="A298">
        <v>83</v>
      </c>
      <c r="B298" t="s">
        <v>139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">
      <c r="A299">
        <v>83</v>
      </c>
      <c r="B299">
        <v>120.14</v>
      </c>
      <c r="C299" t="s">
        <v>316</v>
      </c>
      <c r="D299">
        <v>0</v>
      </c>
      <c r="E299">
        <v>1</v>
      </c>
      <c r="F299">
        <v>0</v>
      </c>
      <c r="G299">
        <v>1</v>
      </c>
    </row>
    <row r="300" spans="1:7" x14ac:dyDescent="0.2">
      <c r="A300">
        <v>83</v>
      </c>
      <c r="B300">
        <v>117.17</v>
      </c>
      <c r="C300" t="s">
        <v>317</v>
      </c>
      <c r="D300">
        <v>0</v>
      </c>
      <c r="E300">
        <v>0</v>
      </c>
      <c r="F300">
        <v>0</v>
      </c>
      <c r="G300">
        <v>0</v>
      </c>
    </row>
    <row r="301" spans="1:7" x14ac:dyDescent="0.2">
      <c r="A301">
        <v>83</v>
      </c>
      <c r="B301">
        <v>120.17</v>
      </c>
      <c r="C301" t="s">
        <v>164</v>
      </c>
      <c r="D301">
        <v>0</v>
      </c>
      <c r="E301">
        <v>0</v>
      </c>
      <c r="F301">
        <v>0</v>
      </c>
      <c r="G301">
        <v>0</v>
      </c>
    </row>
    <row r="302" spans="1:7" x14ac:dyDescent="0.2">
      <c r="A302">
        <v>84</v>
      </c>
      <c r="B302">
        <v>117.17</v>
      </c>
      <c r="C302" t="s">
        <v>234</v>
      </c>
      <c r="D302">
        <v>0</v>
      </c>
      <c r="E302">
        <v>0</v>
      </c>
      <c r="F302">
        <v>0</v>
      </c>
      <c r="G302">
        <v>0</v>
      </c>
    </row>
    <row r="303" spans="1:7" x14ac:dyDescent="0.2">
      <c r="A303">
        <v>84</v>
      </c>
      <c r="B303">
        <v>120.17</v>
      </c>
      <c r="C303" t="s">
        <v>318</v>
      </c>
      <c r="D303">
        <v>0</v>
      </c>
      <c r="E303">
        <v>0</v>
      </c>
      <c r="F303">
        <v>0</v>
      </c>
      <c r="G303">
        <v>0</v>
      </c>
    </row>
    <row r="304" spans="1:7" x14ac:dyDescent="0.2">
      <c r="A304">
        <v>84</v>
      </c>
      <c r="B304" t="s">
        <v>139</v>
      </c>
      <c r="C304" t="s">
        <v>164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84</v>
      </c>
      <c r="B305">
        <v>120.14</v>
      </c>
      <c r="C305" t="s">
        <v>319</v>
      </c>
      <c r="D305">
        <v>0</v>
      </c>
      <c r="E305">
        <v>0</v>
      </c>
      <c r="F305">
        <v>0</v>
      </c>
      <c r="G305">
        <v>0</v>
      </c>
    </row>
    <row r="306" spans="1:7" x14ac:dyDescent="0.2">
      <c r="A306">
        <v>87</v>
      </c>
      <c r="B306">
        <v>120.17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">
      <c r="A307">
        <v>87</v>
      </c>
      <c r="B307">
        <v>120.14</v>
      </c>
      <c r="C307" t="s">
        <v>158</v>
      </c>
      <c r="D307">
        <v>0</v>
      </c>
      <c r="E307">
        <v>1</v>
      </c>
      <c r="F307">
        <v>0</v>
      </c>
      <c r="G307">
        <v>0</v>
      </c>
    </row>
    <row r="308" spans="1:7" x14ac:dyDescent="0.2">
      <c r="A308">
        <v>87</v>
      </c>
      <c r="B308">
        <v>117.17</v>
      </c>
      <c r="C308" t="s">
        <v>320</v>
      </c>
      <c r="D308">
        <v>0</v>
      </c>
      <c r="E308">
        <v>1</v>
      </c>
      <c r="F308">
        <v>0</v>
      </c>
      <c r="G308">
        <v>0</v>
      </c>
    </row>
    <row r="309" spans="1:7" x14ac:dyDescent="0.2">
      <c r="A309">
        <v>87</v>
      </c>
      <c r="B309" t="s">
        <v>139</v>
      </c>
      <c r="C309" t="s">
        <v>174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89</v>
      </c>
      <c r="B310" t="s">
        <v>139</v>
      </c>
      <c r="C310" t="s">
        <v>321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89</v>
      </c>
      <c r="B311">
        <v>117.17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">
      <c r="A312">
        <v>89</v>
      </c>
      <c r="B312">
        <v>120.14</v>
      </c>
      <c r="C312" t="s">
        <v>322</v>
      </c>
      <c r="D312">
        <v>0</v>
      </c>
      <c r="E312">
        <v>1</v>
      </c>
      <c r="F312">
        <v>0</v>
      </c>
      <c r="G312">
        <v>0</v>
      </c>
    </row>
    <row r="313" spans="1:7" x14ac:dyDescent="0.2">
      <c r="A313">
        <v>89</v>
      </c>
      <c r="B313">
        <v>120.17</v>
      </c>
      <c r="C313" t="s">
        <v>323</v>
      </c>
      <c r="D313">
        <v>0</v>
      </c>
      <c r="E313">
        <v>0</v>
      </c>
      <c r="F313">
        <v>0</v>
      </c>
      <c r="G313">
        <v>1</v>
      </c>
    </row>
    <row r="314" spans="1:7" x14ac:dyDescent="0.2">
      <c r="A314">
        <v>90</v>
      </c>
      <c r="B314">
        <v>120.14</v>
      </c>
      <c r="C314" t="s">
        <v>324</v>
      </c>
      <c r="D314">
        <v>0</v>
      </c>
      <c r="E314">
        <v>0</v>
      </c>
      <c r="F314">
        <v>0</v>
      </c>
      <c r="G314">
        <v>0</v>
      </c>
    </row>
    <row r="315" spans="1:7" x14ac:dyDescent="0.2">
      <c r="A315">
        <v>90</v>
      </c>
      <c r="B315" t="s">
        <v>139</v>
      </c>
      <c r="C315" t="s">
        <v>325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90</v>
      </c>
      <c r="B316">
        <v>120.17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90</v>
      </c>
      <c r="B317">
        <v>117.17</v>
      </c>
      <c r="C317" t="s">
        <v>326</v>
      </c>
      <c r="D317">
        <v>0</v>
      </c>
      <c r="E317">
        <v>0</v>
      </c>
      <c r="F317">
        <v>0</v>
      </c>
      <c r="G317">
        <v>0</v>
      </c>
    </row>
    <row r="318" spans="1:7" x14ac:dyDescent="0.2">
      <c r="A318">
        <v>93</v>
      </c>
      <c r="B318" t="s">
        <v>139</v>
      </c>
      <c r="C318" t="s">
        <v>221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93</v>
      </c>
      <c r="B319">
        <v>117.17</v>
      </c>
      <c r="C319" t="s">
        <v>327</v>
      </c>
      <c r="D319">
        <v>0</v>
      </c>
      <c r="E319">
        <v>0</v>
      </c>
      <c r="F319">
        <v>0</v>
      </c>
      <c r="G319">
        <v>0</v>
      </c>
    </row>
    <row r="320" spans="1:7" x14ac:dyDescent="0.2">
      <c r="A320">
        <v>93</v>
      </c>
      <c r="B320">
        <v>120.14</v>
      </c>
      <c r="C320" t="s">
        <v>328</v>
      </c>
      <c r="D320">
        <v>0</v>
      </c>
      <c r="E320">
        <v>0</v>
      </c>
      <c r="F320">
        <v>0</v>
      </c>
      <c r="G320">
        <v>0</v>
      </c>
    </row>
    <row r="321" spans="1:7" x14ac:dyDescent="0.2">
      <c r="A321">
        <v>93</v>
      </c>
      <c r="B321">
        <v>120.17</v>
      </c>
      <c r="C321" t="s">
        <v>329</v>
      </c>
      <c r="D321">
        <v>0</v>
      </c>
      <c r="E321">
        <v>0</v>
      </c>
      <c r="F321">
        <v>0</v>
      </c>
      <c r="G321">
        <v>0</v>
      </c>
    </row>
    <row r="322" spans="1:7" x14ac:dyDescent="0.2">
      <c r="A322">
        <v>94</v>
      </c>
      <c r="B322">
        <v>120.14</v>
      </c>
      <c r="C322" t="s">
        <v>319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94</v>
      </c>
      <c r="B323" t="s">
        <v>139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94</v>
      </c>
      <c r="B324">
        <v>120.17</v>
      </c>
      <c r="C324" t="s">
        <v>330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94</v>
      </c>
      <c r="B325">
        <v>117.17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95</v>
      </c>
      <c r="B326">
        <v>120.17</v>
      </c>
      <c r="C326" t="s">
        <v>187</v>
      </c>
      <c r="D326">
        <v>0</v>
      </c>
      <c r="E326">
        <v>0</v>
      </c>
      <c r="F326">
        <v>0</v>
      </c>
      <c r="G326">
        <v>0</v>
      </c>
    </row>
    <row r="327" spans="1:7" x14ac:dyDescent="0.2">
      <c r="A327">
        <v>95</v>
      </c>
      <c r="B327">
        <v>120.14</v>
      </c>
      <c r="C327" t="s">
        <v>331</v>
      </c>
      <c r="D327">
        <v>0</v>
      </c>
      <c r="E327">
        <v>0</v>
      </c>
      <c r="F327">
        <v>0</v>
      </c>
      <c r="G327">
        <v>1</v>
      </c>
    </row>
    <row r="328" spans="1:7" x14ac:dyDescent="0.2">
      <c r="A328">
        <v>95</v>
      </c>
      <c r="B328">
        <v>117.17</v>
      </c>
      <c r="C328" t="s">
        <v>332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95</v>
      </c>
      <c r="B329" t="s">
        <v>139</v>
      </c>
      <c r="C329" t="s">
        <v>333</v>
      </c>
      <c r="D329">
        <v>1</v>
      </c>
      <c r="E329">
        <v>0</v>
      </c>
      <c r="F329">
        <v>0</v>
      </c>
      <c r="G329">
        <v>1</v>
      </c>
    </row>
    <row r="330" spans="1:7" x14ac:dyDescent="0.2">
      <c r="A330">
        <v>96</v>
      </c>
      <c r="B330">
        <v>117.17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96</v>
      </c>
      <c r="B331">
        <v>120.17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96</v>
      </c>
      <c r="B332" t="s">
        <v>139</v>
      </c>
      <c r="C332" t="s">
        <v>334</v>
      </c>
      <c r="D332">
        <v>0</v>
      </c>
      <c r="E332">
        <v>1</v>
      </c>
      <c r="F332">
        <v>0</v>
      </c>
      <c r="G332">
        <v>0</v>
      </c>
    </row>
    <row r="333" spans="1:7" x14ac:dyDescent="0.2">
      <c r="A333">
        <v>96</v>
      </c>
      <c r="B333">
        <v>120.14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97</v>
      </c>
      <c r="B334" t="s">
        <v>139</v>
      </c>
      <c r="C334" t="s">
        <v>335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97</v>
      </c>
      <c r="B335">
        <v>117.17</v>
      </c>
      <c r="C335" t="s">
        <v>164</v>
      </c>
      <c r="D335">
        <v>0</v>
      </c>
      <c r="E335">
        <v>0</v>
      </c>
      <c r="F335">
        <v>0</v>
      </c>
      <c r="G335">
        <v>0</v>
      </c>
    </row>
    <row r="336" spans="1:7" x14ac:dyDescent="0.2">
      <c r="A336">
        <v>97</v>
      </c>
      <c r="B336">
        <v>120.14</v>
      </c>
      <c r="C336" t="s">
        <v>164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97</v>
      </c>
      <c r="B337">
        <v>120.17</v>
      </c>
      <c r="C337" t="s">
        <v>164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98</v>
      </c>
      <c r="B338">
        <v>120.14</v>
      </c>
      <c r="C338" t="s">
        <v>336</v>
      </c>
      <c r="D338">
        <v>0</v>
      </c>
      <c r="E338">
        <v>0</v>
      </c>
      <c r="F338">
        <v>0</v>
      </c>
      <c r="G338">
        <v>0</v>
      </c>
    </row>
    <row r="339" spans="1:7" x14ac:dyDescent="0.2">
      <c r="A339">
        <v>98</v>
      </c>
      <c r="B339" t="s">
        <v>139</v>
      </c>
      <c r="C339" t="s">
        <v>337</v>
      </c>
      <c r="D339">
        <v>0</v>
      </c>
      <c r="E339">
        <v>1</v>
      </c>
      <c r="F339">
        <v>0</v>
      </c>
      <c r="G339">
        <v>0</v>
      </c>
    </row>
    <row r="340" spans="1:7" x14ac:dyDescent="0.2">
      <c r="A340">
        <v>98</v>
      </c>
      <c r="B340">
        <v>120.17</v>
      </c>
      <c r="C340" t="s">
        <v>338</v>
      </c>
      <c r="D340">
        <v>0</v>
      </c>
      <c r="E340">
        <v>1</v>
      </c>
      <c r="F340">
        <v>0</v>
      </c>
      <c r="G340">
        <v>0</v>
      </c>
    </row>
    <row r="341" spans="1:7" x14ac:dyDescent="0.2">
      <c r="A341">
        <v>98</v>
      </c>
      <c r="B341">
        <v>117.17</v>
      </c>
      <c r="C341" t="s">
        <v>339</v>
      </c>
      <c r="D341">
        <v>0</v>
      </c>
      <c r="E341">
        <v>0</v>
      </c>
      <c r="F341">
        <v>0</v>
      </c>
      <c r="G341">
        <v>1</v>
      </c>
    </row>
    <row r="342" spans="1:7" x14ac:dyDescent="0.2">
      <c r="A342">
        <v>99</v>
      </c>
      <c r="B342">
        <v>120.17</v>
      </c>
      <c r="C342" t="s">
        <v>150</v>
      </c>
      <c r="D342">
        <v>0</v>
      </c>
      <c r="E342">
        <v>0</v>
      </c>
      <c r="F342">
        <v>0</v>
      </c>
      <c r="G342">
        <v>0</v>
      </c>
    </row>
    <row r="343" spans="1:7" x14ac:dyDescent="0.2">
      <c r="A343">
        <v>99</v>
      </c>
      <c r="B343">
        <v>120.14</v>
      </c>
      <c r="C343" t="s">
        <v>177</v>
      </c>
      <c r="D343">
        <v>0</v>
      </c>
      <c r="E343">
        <v>0</v>
      </c>
      <c r="F343">
        <v>0</v>
      </c>
      <c r="G343">
        <v>1</v>
      </c>
    </row>
    <row r="344" spans="1:7" x14ac:dyDescent="0.2">
      <c r="A344">
        <v>99</v>
      </c>
      <c r="B344">
        <v>117.17</v>
      </c>
      <c r="C344" t="s">
        <v>177</v>
      </c>
      <c r="D344">
        <v>0</v>
      </c>
      <c r="E344">
        <v>0</v>
      </c>
      <c r="F344">
        <v>0</v>
      </c>
      <c r="G344">
        <v>1</v>
      </c>
    </row>
    <row r="345" spans="1:7" x14ac:dyDescent="0.2">
      <c r="A345">
        <v>99</v>
      </c>
      <c r="B345" t="s">
        <v>139</v>
      </c>
      <c r="C345" t="s">
        <v>316</v>
      </c>
      <c r="D345">
        <v>0</v>
      </c>
      <c r="E345">
        <v>1</v>
      </c>
      <c r="F345">
        <v>0</v>
      </c>
      <c r="G345">
        <v>1</v>
      </c>
    </row>
    <row r="346" spans="1:7" x14ac:dyDescent="0.2">
      <c r="A346">
        <v>100</v>
      </c>
      <c r="B346">
        <v>117.17</v>
      </c>
      <c r="C346" t="s">
        <v>340</v>
      </c>
      <c r="D346">
        <v>1</v>
      </c>
      <c r="E346">
        <v>1</v>
      </c>
      <c r="F346">
        <v>0</v>
      </c>
      <c r="G346">
        <v>0</v>
      </c>
    </row>
    <row r="347" spans="1:7" x14ac:dyDescent="0.2">
      <c r="A347">
        <v>100</v>
      </c>
      <c r="B347">
        <v>120.17</v>
      </c>
      <c r="C347" t="s">
        <v>341</v>
      </c>
      <c r="D347">
        <v>0</v>
      </c>
      <c r="E347">
        <v>0</v>
      </c>
      <c r="F347">
        <v>0</v>
      </c>
      <c r="G347">
        <v>0</v>
      </c>
    </row>
    <row r="348" spans="1:7" x14ac:dyDescent="0.2">
      <c r="A348">
        <v>100</v>
      </c>
      <c r="B348" t="s">
        <v>139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100</v>
      </c>
      <c r="B349">
        <v>120.14</v>
      </c>
      <c r="C349" t="s">
        <v>342</v>
      </c>
      <c r="D349">
        <v>0</v>
      </c>
      <c r="E349">
        <v>0</v>
      </c>
      <c r="F349">
        <v>0</v>
      </c>
      <c r="G349">
        <v>0</v>
      </c>
    </row>
    <row r="350" spans="1:7" x14ac:dyDescent="0.2">
      <c r="A350">
        <v>101</v>
      </c>
      <c r="B350" t="s">
        <v>139</v>
      </c>
      <c r="C350" t="s">
        <v>343</v>
      </c>
      <c r="D350">
        <v>0</v>
      </c>
      <c r="E350">
        <v>1</v>
      </c>
      <c r="F350">
        <v>0</v>
      </c>
      <c r="G350">
        <v>0</v>
      </c>
    </row>
    <row r="351" spans="1:7" x14ac:dyDescent="0.2">
      <c r="A351">
        <v>101</v>
      </c>
      <c r="B351">
        <v>117.17</v>
      </c>
      <c r="C351" t="s">
        <v>149</v>
      </c>
      <c r="D351">
        <v>0</v>
      </c>
      <c r="E351">
        <v>0</v>
      </c>
      <c r="F351">
        <v>0</v>
      </c>
      <c r="G351">
        <v>0</v>
      </c>
    </row>
    <row r="352" spans="1:7" x14ac:dyDescent="0.2">
      <c r="A352">
        <v>101</v>
      </c>
      <c r="B352">
        <v>120.14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">
      <c r="A353">
        <v>101</v>
      </c>
      <c r="B353">
        <v>120.17</v>
      </c>
      <c r="C353" t="s">
        <v>344</v>
      </c>
      <c r="D353">
        <v>0</v>
      </c>
      <c r="E353">
        <v>0</v>
      </c>
      <c r="F353">
        <v>0</v>
      </c>
      <c r="G353">
        <v>0</v>
      </c>
    </row>
    <row r="354" spans="1:7" x14ac:dyDescent="0.2">
      <c r="A354">
        <v>102</v>
      </c>
      <c r="B354">
        <v>120.14</v>
      </c>
      <c r="C354" t="s">
        <v>345</v>
      </c>
      <c r="D354">
        <v>0</v>
      </c>
      <c r="E354">
        <v>1</v>
      </c>
      <c r="F354">
        <v>0</v>
      </c>
      <c r="G354">
        <v>0</v>
      </c>
    </row>
    <row r="355" spans="1:7" x14ac:dyDescent="0.2">
      <c r="A355">
        <v>102</v>
      </c>
      <c r="B355" t="s">
        <v>139</v>
      </c>
      <c r="C355" t="s">
        <v>158</v>
      </c>
      <c r="D355">
        <v>0</v>
      </c>
      <c r="E355">
        <v>1</v>
      </c>
      <c r="F355">
        <v>0</v>
      </c>
      <c r="G355">
        <v>0</v>
      </c>
    </row>
    <row r="356" spans="1:7" x14ac:dyDescent="0.2">
      <c r="A356">
        <v>102</v>
      </c>
      <c r="B356">
        <v>120.17</v>
      </c>
      <c r="C356" t="s">
        <v>268</v>
      </c>
      <c r="D356">
        <v>0</v>
      </c>
      <c r="E356">
        <v>0</v>
      </c>
      <c r="F356">
        <v>0</v>
      </c>
      <c r="G356">
        <v>1</v>
      </c>
    </row>
    <row r="357" spans="1:7" x14ac:dyDescent="0.2">
      <c r="A357">
        <v>102</v>
      </c>
      <c r="B357">
        <v>117.17</v>
      </c>
      <c r="C357" t="s">
        <v>193</v>
      </c>
      <c r="D357">
        <v>1</v>
      </c>
      <c r="E357">
        <v>0</v>
      </c>
      <c r="F357">
        <v>0</v>
      </c>
      <c r="G357">
        <v>0</v>
      </c>
    </row>
    <row r="358" spans="1:7" x14ac:dyDescent="0.2">
      <c r="A358">
        <v>103</v>
      </c>
      <c r="B358">
        <v>120.17</v>
      </c>
      <c r="C358" t="s">
        <v>164</v>
      </c>
      <c r="D358">
        <v>0</v>
      </c>
      <c r="E358">
        <v>0</v>
      </c>
      <c r="F358">
        <v>0</v>
      </c>
      <c r="G358">
        <v>0</v>
      </c>
    </row>
    <row r="359" spans="1:7" x14ac:dyDescent="0.2">
      <c r="A359">
        <v>103</v>
      </c>
      <c r="B359">
        <v>120.14</v>
      </c>
      <c r="C359" t="s">
        <v>346</v>
      </c>
      <c r="D359">
        <v>0</v>
      </c>
      <c r="E359">
        <v>0</v>
      </c>
      <c r="F359">
        <v>0</v>
      </c>
      <c r="G359">
        <v>0</v>
      </c>
    </row>
    <row r="360" spans="1:7" x14ac:dyDescent="0.2">
      <c r="A360">
        <v>103</v>
      </c>
      <c r="B360">
        <v>117.17</v>
      </c>
      <c r="C360" t="s">
        <v>224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103</v>
      </c>
      <c r="B361" t="s">
        <v>139</v>
      </c>
      <c r="C361" t="s">
        <v>347</v>
      </c>
      <c r="D361">
        <v>0</v>
      </c>
      <c r="E361">
        <v>1</v>
      </c>
      <c r="F361">
        <v>0</v>
      </c>
      <c r="G361">
        <v>0</v>
      </c>
    </row>
    <row r="362" spans="1:7" x14ac:dyDescent="0.2">
      <c r="A362">
        <v>104</v>
      </c>
      <c r="B362">
        <v>117.17</v>
      </c>
      <c r="C362" t="s">
        <v>348</v>
      </c>
      <c r="D362">
        <v>0</v>
      </c>
      <c r="E362">
        <v>0</v>
      </c>
      <c r="F362">
        <v>0</v>
      </c>
      <c r="G362">
        <v>1</v>
      </c>
    </row>
    <row r="363" spans="1:7" x14ac:dyDescent="0.2">
      <c r="A363">
        <v>104</v>
      </c>
      <c r="B363">
        <v>120.17</v>
      </c>
      <c r="C363" t="s">
        <v>349</v>
      </c>
      <c r="D363">
        <v>0</v>
      </c>
      <c r="E363">
        <v>0</v>
      </c>
      <c r="F363">
        <v>0</v>
      </c>
      <c r="G363">
        <v>1</v>
      </c>
    </row>
    <row r="364" spans="1:7" x14ac:dyDescent="0.2">
      <c r="A364">
        <v>104</v>
      </c>
      <c r="B364" t="s">
        <v>139</v>
      </c>
      <c r="C364" t="s">
        <v>350</v>
      </c>
      <c r="D364">
        <v>0</v>
      </c>
      <c r="E364">
        <v>1</v>
      </c>
      <c r="F364">
        <v>0</v>
      </c>
      <c r="G364">
        <v>0</v>
      </c>
    </row>
    <row r="365" spans="1:7" x14ac:dyDescent="0.2">
      <c r="A365">
        <v>104</v>
      </c>
      <c r="B365">
        <v>120.14</v>
      </c>
      <c r="C365" t="s">
        <v>351</v>
      </c>
      <c r="D365">
        <v>0</v>
      </c>
      <c r="E365">
        <v>1</v>
      </c>
      <c r="F365">
        <v>0</v>
      </c>
      <c r="G365">
        <v>0</v>
      </c>
    </row>
    <row r="366" spans="1:7" x14ac:dyDescent="0.2">
      <c r="A366">
        <v>105</v>
      </c>
      <c r="B366" t="s">
        <v>139</v>
      </c>
      <c r="C366" t="s">
        <v>352</v>
      </c>
      <c r="D366">
        <v>0</v>
      </c>
      <c r="E366">
        <v>1</v>
      </c>
      <c r="F366">
        <v>1</v>
      </c>
      <c r="G366">
        <v>0</v>
      </c>
    </row>
    <row r="367" spans="1:7" x14ac:dyDescent="0.2">
      <c r="A367">
        <v>105</v>
      </c>
      <c r="B367">
        <v>117.17</v>
      </c>
      <c r="C367" t="s">
        <v>174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105</v>
      </c>
      <c r="B368">
        <v>120.14</v>
      </c>
      <c r="C368" t="s">
        <v>293</v>
      </c>
      <c r="D368">
        <v>0</v>
      </c>
      <c r="E368">
        <v>0</v>
      </c>
      <c r="F368">
        <v>0</v>
      </c>
      <c r="G368">
        <v>0</v>
      </c>
    </row>
    <row r="369" spans="1:7" x14ac:dyDescent="0.2">
      <c r="A369">
        <v>105</v>
      </c>
      <c r="B369">
        <v>120.17</v>
      </c>
      <c r="C369" t="s">
        <v>234</v>
      </c>
      <c r="D369">
        <v>0</v>
      </c>
      <c r="E369">
        <v>0</v>
      </c>
      <c r="F369">
        <v>0</v>
      </c>
      <c r="G369">
        <v>0</v>
      </c>
    </row>
    <row r="370" spans="1:7" x14ac:dyDescent="0.2">
      <c r="A370">
        <v>106</v>
      </c>
      <c r="B370">
        <v>120.14</v>
      </c>
      <c r="C370" t="s">
        <v>264</v>
      </c>
      <c r="D370">
        <v>0</v>
      </c>
      <c r="E370">
        <v>0</v>
      </c>
      <c r="F370">
        <v>0</v>
      </c>
      <c r="G370">
        <v>0</v>
      </c>
    </row>
    <row r="371" spans="1:7" x14ac:dyDescent="0.2">
      <c r="A371">
        <v>106</v>
      </c>
      <c r="B371" t="s">
        <v>139</v>
      </c>
      <c r="C371" t="s">
        <v>164</v>
      </c>
      <c r="D371">
        <v>0</v>
      </c>
      <c r="E371">
        <v>0</v>
      </c>
      <c r="F371">
        <v>0</v>
      </c>
      <c r="G371">
        <v>0</v>
      </c>
    </row>
    <row r="372" spans="1:7" x14ac:dyDescent="0.2">
      <c r="A372">
        <v>106</v>
      </c>
      <c r="B372">
        <v>120.17</v>
      </c>
      <c r="C372" t="s">
        <v>353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106</v>
      </c>
      <c r="B373">
        <v>117.17</v>
      </c>
      <c r="C373" t="s">
        <v>193</v>
      </c>
      <c r="D373">
        <v>1</v>
      </c>
      <c r="E373">
        <v>0</v>
      </c>
      <c r="F373">
        <v>0</v>
      </c>
      <c r="G373">
        <v>0</v>
      </c>
    </row>
    <row r="374" spans="1:7" x14ac:dyDescent="0.2">
      <c r="A374">
        <v>107</v>
      </c>
      <c r="B374">
        <v>120.17</v>
      </c>
      <c r="C374" t="s">
        <v>164</v>
      </c>
      <c r="D374">
        <v>0</v>
      </c>
      <c r="E374">
        <v>0</v>
      </c>
      <c r="F374">
        <v>0</v>
      </c>
      <c r="G374">
        <v>0</v>
      </c>
    </row>
    <row r="375" spans="1:7" x14ac:dyDescent="0.2">
      <c r="A375">
        <v>107</v>
      </c>
      <c r="B375">
        <v>120.14</v>
      </c>
      <c r="C375" t="s">
        <v>164</v>
      </c>
      <c r="D375">
        <v>0</v>
      </c>
      <c r="E375">
        <v>0</v>
      </c>
      <c r="F375">
        <v>0</v>
      </c>
      <c r="G375">
        <v>0</v>
      </c>
    </row>
    <row r="376" spans="1:7" x14ac:dyDescent="0.2">
      <c r="A376">
        <v>107</v>
      </c>
      <c r="B376">
        <v>117.17</v>
      </c>
      <c r="C376" t="s">
        <v>164</v>
      </c>
      <c r="D376">
        <v>0</v>
      </c>
      <c r="E376">
        <v>0</v>
      </c>
      <c r="F376">
        <v>0</v>
      </c>
      <c r="G376">
        <v>0</v>
      </c>
    </row>
    <row r="377" spans="1:7" x14ac:dyDescent="0.2">
      <c r="A377">
        <v>107</v>
      </c>
      <c r="B377" t="s">
        <v>139</v>
      </c>
      <c r="C377" t="s">
        <v>164</v>
      </c>
      <c r="D377">
        <v>0</v>
      </c>
      <c r="E377">
        <v>0</v>
      </c>
      <c r="F377">
        <v>0</v>
      </c>
      <c r="G377">
        <v>0</v>
      </c>
    </row>
    <row r="378" spans="1:7" x14ac:dyDescent="0.2">
      <c r="A378">
        <v>108</v>
      </c>
      <c r="B378">
        <v>117.17</v>
      </c>
      <c r="C378" t="s">
        <v>354</v>
      </c>
      <c r="D378">
        <v>0</v>
      </c>
      <c r="E378">
        <v>0</v>
      </c>
      <c r="F378">
        <v>0</v>
      </c>
      <c r="G378">
        <v>0</v>
      </c>
    </row>
    <row r="379" spans="1:7" x14ac:dyDescent="0.2">
      <c r="A379">
        <v>108</v>
      </c>
      <c r="B379">
        <v>120.17</v>
      </c>
      <c r="C379" t="s">
        <v>193</v>
      </c>
      <c r="D379">
        <v>1</v>
      </c>
      <c r="E379">
        <v>0</v>
      </c>
      <c r="F379">
        <v>0</v>
      </c>
      <c r="G379">
        <v>0</v>
      </c>
    </row>
    <row r="380" spans="1:7" x14ac:dyDescent="0.2">
      <c r="A380">
        <v>108</v>
      </c>
      <c r="B380" t="s">
        <v>139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">
      <c r="A381">
        <v>108</v>
      </c>
      <c r="B381">
        <v>120.14</v>
      </c>
      <c r="C381" t="s">
        <v>319</v>
      </c>
      <c r="D381">
        <v>0</v>
      </c>
      <c r="E381">
        <v>0</v>
      </c>
      <c r="F381">
        <v>0</v>
      </c>
      <c r="G381">
        <v>0</v>
      </c>
    </row>
    <row r="382" spans="1:7" x14ac:dyDescent="0.2">
      <c r="A382">
        <v>109</v>
      </c>
      <c r="B382" t="s">
        <v>139</v>
      </c>
      <c r="C382" t="s">
        <v>355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109</v>
      </c>
      <c r="B383">
        <v>117.17</v>
      </c>
      <c r="C383" t="s">
        <v>356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109</v>
      </c>
      <c r="B384">
        <v>120.14</v>
      </c>
      <c r="C384" t="s">
        <v>357</v>
      </c>
      <c r="D384">
        <v>0</v>
      </c>
      <c r="E384">
        <v>0</v>
      </c>
      <c r="F384">
        <v>0</v>
      </c>
      <c r="G384">
        <v>0</v>
      </c>
    </row>
    <row r="385" spans="1:7" x14ac:dyDescent="0.2">
      <c r="A385">
        <v>109</v>
      </c>
      <c r="B385">
        <v>120.17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">
      <c r="A386">
        <v>110</v>
      </c>
      <c r="B386">
        <v>120.14</v>
      </c>
      <c r="C386" t="s">
        <v>164</v>
      </c>
      <c r="D386">
        <v>0</v>
      </c>
      <c r="E386">
        <v>0</v>
      </c>
      <c r="F386">
        <v>0</v>
      </c>
      <c r="G386">
        <v>0</v>
      </c>
    </row>
    <row r="387" spans="1:7" x14ac:dyDescent="0.2">
      <c r="A387">
        <v>110</v>
      </c>
      <c r="B387" t="s">
        <v>139</v>
      </c>
      <c r="C387" t="s">
        <v>164</v>
      </c>
      <c r="D387">
        <v>0</v>
      </c>
      <c r="E387">
        <v>0</v>
      </c>
      <c r="F387">
        <v>0</v>
      </c>
      <c r="G387">
        <v>0</v>
      </c>
    </row>
    <row r="388" spans="1:7" x14ac:dyDescent="0.2">
      <c r="A388">
        <v>110</v>
      </c>
      <c r="B388">
        <v>120.17</v>
      </c>
      <c r="C388" t="s">
        <v>148</v>
      </c>
      <c r="D388">
        <v>0</v>
      </c>
      <c r="E388">
        <v>0</v>
      </c>
      <c r="F388">
        <v>0</v>
      </c>
      <c r="G388">
        <v>0</v>
      </c>
    </row>
    <row r="389" spans="1:7" x14ac:dyDescent="0.2">
      <c r="A389">
        <v>110</v>
      </c>
      <c r="B389">
        <v>117.17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">
      <c r="A390">
        <v>111</v>
      </c>
      <c r="B390">
        <v>120.17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">
      <c r="A391">
        <v>111</v>
      </c>
      <c r="B391">
        <v>120.14</v>
      </c>
      <c r="C391" t="s">
        <v>293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111</v>
      </c>
      <c r="B392">
        <v>117.17</v>
      </c>
      <c r="C392" t="s">
        <v>358</v>
      </c>
      <c r="D392">
        <v>1</v>
      </c>
      <c r="E392">
        <v>0</v>
      </c>
      <c r="F392">
        <v>0</v>
      </c>
      <c r="G392">
        <v>0</v>
      </c>
    </row>
    <row r="393" spans="1:7" x14ac:dyDescent="0.2">
      <c r="A393">
        <v>111</v>
      </c>
      <c r="B393" t="s">
        <v>139</v>
      </c>
      <c r="C393" t="s">
        <v>293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112</v>
      </c>
      <c r="B394">
        <v>117.17</v>
      </c>
      <c r="C394" t="s">
        <v>359</v>
      </c>
      <c r="D394">
        <v>0</v>
      </c>
      <c r="E394">
        <v>1</v>
      </c>
      <c r="F394">
        <v>0</v>
      </c>
      <c r="G394">
        <v>0</v>
      </c>
    </row>
    <row r="395" spans="1:7" x14ac:dyDescent="0.2">
      <c r="A395">
        <v>112</v>
      </c>
      <c r="B395">
        <v>120.17</v>
      </c>
      <c r="C395" t="s">
        <v>360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112</v>
      </c>
      <c r="B396" t="s">
        <v>139</v>
      </c>
      <c r="C396" t="s">
        <v>361</v>
      </c>
      <c r="D396">
        <v>0</v>
      </c>
      <c r="E396">
        <v>0</v>
      </c>
      <c r="F396">
        <v>0</v>
      </c>
      <c r="G396">
        <v>0</v>
      </c>
    </row>
    <row r="397" spans="1:7" x14ac:dyDescent="0.2">
      <c r="A397">
        <v>112</v>
      </c>
      <c r="B397">
        <v>120.14</v>
      </c>
      <c r="C397" t="s">
        <v>362</v>
      </c>
      <c r="D397">
        <v>0</v>
      </c>
      <c r="E397">
        <v>0</v>
      </c>
      <c r="F397">
        <v>0</v>
      </c>
      <c r="G397">
        <v>0</v>
      </c>
    </row>
    <row r="398" spans="1:7" x14ac:dyDescent="0.2">
      <c r="A398">
        <v>113</v>
      </c>
      <c r="B398" t="s">
        <v>139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">
      <c r="A399">
        <v>113</v>
      </c>
      <c r="B399">
        <v>117.17</v>
      </c>
      <c r="C399" t="s">
        <v>335</v>
      </c>
      <c r="D399">
        <v>0</v>
      </c>
      <c r="E399">
        <v>0</v>
      </c>
      <c r="F399">
        <v>0</v>
      </c>
      <c r="G399">
        <v>0</v>
      </c>
    </row>
    <row r="400" spans="1:7" x14ac:dyDescent="0.2">
      <c r="A400">
        <v>113</v>
      </c>
      <c r="B400">
        <v>120.14</v>
      </c>
      <c r="C400" t="s">
        <v>363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113</v>
      </c>
      <c r="B401">
        <v>120.17</v>
      </c>
      <c r="C401" t="s">
        <v>364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114</v>
      </c>
      <c r="B402">
        <v>120.14</v>
      </c>
      <c r="C402" t="s">
        <v>365</v>
      </c>
      <c r="D402">
        <v>0</v>
      </c>
      <c r="E402">
        <v>0</v>
      </c>
      <c r="F402">
        <v>0</v>
      </c>
      <c r="G402">
        <v>0</v>
      </c>
    </row>
    <row r="403" spans="1:7" x14ac:dyDescent="0.2">
      <c r="A403">
        <v>114</v>
      </c>
      <c r="B403" t="s">
        <v>139</v>
      </c>
      <c r="C403" t="s">
        <v>366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114</v>
      </c>
      <c r="B404">
        <v>120.17</v>
      </c>
      <c r="C404" t="s">
        <v>367</v>
      </c>
      <c r="D404">
        <v>0</v>
      </c>
      <c r="E404">
        <v>0</v>
      </c>
      <c r="F404">
        <v>0</v>
      </c>
      <c r="G404">
        <v>0</v>
      </c>
    </row>
    <row r="405" spans="1:7" x14ac:dyDescent="0.2">
      <c r="A405">
        <v>114</v>
      </c>
      <c r="B405">
        <v>117.17</v>
      </c>
      <c r="C405" t="s">
        <v>368</v>
      </c>
      <c r="D405">
        <v>0</v>
      </c>
      <c r="E405">
        <v>0</v>
      </c>
      <c r="F405">
        <v>0</v>
      </c>
      <c r="G405">
        <v>0</v>
      </c>
    </row>
    <row r="406" spans="1:7" x14ac:dyDescent="0.2">
      <c r="A406">
        <v>115</v>
      </c>
      <c r="B406">
        <v>120.17</v>
      </c>
      <c r="C406" t="s">
        <v>369</v>
      </c>
      <c r="D406">
        <v>0</v>
      </c>
      <c r="E406">
        <v>0</v>
      </c>
      <c r="F406">
        <v>0</v>
      </c>
      <c r="G406">
        <v>0</v>
      </c>
    </row>
    <row r="407" spans="1:7" x14ac:dyDescent="0.2">
      <c r="A407">
        <v>115</v>
      </c>
      <c r="B407">
        <v>120.14</v>
      </c>
      <c r="C407" t="s">
        <v>370</v>
      </c>
      <c r="D407">
        <v>0</v>
      </c>
      <c r="E407">
        <v>0</v>
      </c>
      <c r="F407">
        <v>0</v>
      </c>
      <c r="G407">
        <v>0</v>
      </c>
    </row>
    <row r="408" spans="1:7" x14ac:dyDescent="0.2">
      <c r="A408">
        <v>115</v>
      </c>
      <c r="B408">
        <v>117.17</v>
      </c>
      <c r="C408" t="s">
        <v>371</v>
      </c>
      <c r="D408">
        <v>0</v>
      </c>
      <c r="E408">
        <v>0</v>
      </c>
      <c r="F408">
        <v>0</v>
      </c>
      <c r="G408">
        <v>0</v>
      </c>
    </row>
    <row r="409" spans="1:7" x14ac:dyDescent="0.2">
      <c r="A409">
        <v>115</v>
      </c>
      <c r="B409" t="s">
        <v>139</v>
      </c>
      <c r="C409" t="s">
        <v>372</v>
      </c>
      <c r="D409">
        <v>0</v>
      </c>
      <c r="E409">
        <v>0</v>
      </c>
      <c r="F409">
        <v>0</v>
      </c>
      <c r="G409">
        <v>1</v>
      </c>
    </row>
    <row r="410" spans="1:7" x14ac:dyDescent="0.2">
      <c r="A410">
        <v>116</v>
      </c>
      <c r="B410">
        <v>117.17</v>
      </c>
      <c r="C410" t="s">
        <v>373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116</v>
      </c>
      <c r="B411">
        <v>120.17</v>
      </c>
      <c r="C411" t="s">
        <v>374</v>
      </c>
      <c r="D411">
        <v>0</v>
      </c>
      <c r="E411">
        <v>0</v>
      </c>
      <c r="F411">
        <v>0</v>
      </c>
      <c r="G411">
        <v>0</v>
      </c>
    </row>
    <row r="412" spans="1:7" x14ac:dyDescent="0.2">
      <c r="A412">
        <v>116</v>
      </c>
      <c r="B412" t="s">
        <v>139</v>
      </c>
      <c r="C412" t="s">
        <v>375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116</v>
      </c>
      <c r="B413">
        <v>120.14</v>
      </c>
      <c r="C413" t="s">
        <v>376</v>
      </c>
      <c r="D413">
        <v>0</v>
      </c>
      <c r="E413">
        <v>1</v>
      </c>
      <c r="F413">
        <v>0</v>
      </c>
      <c r="G413">
        <v>0</v>
      </c>
    </row>
    <row r="414" spans="1:7" x14ac:dyDescent="0.2">
      <c r="A414">
        <v>117</v>
      </c>
      <c r="B414" t="s">
        <v>139</v>
      </c>
      <c r="C414" t="s">
        <v>377</v>
      </c>
      <c r="D414">
        <v>0</v>
      </c>
      <c r="E414">
        <v>1</v>
      </c>
      <c r="F414">
        <v>0</v>
      </c>
      <c r="G414">
        <v>0</v>
      </c>
    </row>
    <row r="415" spans="1:7" x14ac:dyDescent="0.2">
      <c r="A415">
        <v>117</v>
      </c>
      <c r="B415">
        <v>117.17</v>
      </c>
      <c r="C415" t="s">
        <v>378</v>
      </c>
      <c r="D415">
        <v>1</v>
      </c>
      <c r="E415">
        <v>0</v>
      </c>
      <c r="F415">
        <v>0</v>
      </c>
      <c r="G415">
        <v>0</v>
      </c>
    </row>
    <row r="416" spans="1:7" x14ac:dyDescent="0.2">
      <c r="A416">
        <v>117</v>
      </c>
      <c r="B416">
        <v>120.14</v>
      </c>
      <c r="C416" t="s">
        <v>379</v>
      </c>
      <c r="D416">
        <v>0</v>
      </c>
      <c r="E416">
        <v>0</v>
      </c>
      <c r="F416">
        <v>0</v>
      </c>
      <c r="G416">
        <v>0</v>
      </c>
    </row>
    <row r="417" spans="1:7" x14ac:dyDescent="0.2">
      <c r="A417">
        <v>117</v>
      </c>
      <c r="B417">
        <v>120.17</v>
      </c>
      <c r="C417" t="s">
        <v>380</v>
      </c>
      <c r="D417">
        <v>0</v>
      </c>
      <c r="E417">
        <v>0</v>
      </c>
      <c r="F417">
        <v>0</v>
      </c>
      <c r="G417">
        <v>1</v>
      </c>
    </row>
    <row r="418" spans="1:7" x14ac:dyDescent="0.2">
      <c r="A418">
        <v>118</v>
      </c>
      <c r="B418">
        <v>120.14</v>
      </c>
      <c r="C418" t="s">
        <v>164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118</v>
      </c>
      <c r="B419" t="s">
        <v>139</v>
      </c>
      <c r="C419" t="s">
        <v>319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118</v>
      </c>
      <c r="B420">
        <v>120.17</v>
      </c>
      <c r="C420" t="s">
        <v>164</v>
      </c>
      <c r="D420">
        <v>0</v>
      </c>
      <c r="E420">
        <v>0</v>
      </c>
      <c r="F420">
        <v>0</v>
      </c>
      <c r="G420">
        <v>0</v>
      </c>
    </row>
    <row r="421" spans="1:7" x14ac:dyDescent="0.2">
      <c r="A421">
        <v>118</v>
      </c>
      <c r="B421">
        <v>117.17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119</v>
      </c>
      <c r="B422">
        <v>120.17</v>
      </c>
      <c r="C422" t="s">
        <v>381</v>
      </c>
      <c r="D422">
        <v>1</v>
      </c>
      <c r="E422">
        <v>0</v>
      </c>
      <c r="F422">
        <v>0</v>
      </c>
      <c r="G422">
        <v>0</v>
      </c>
    </row>
    <row r="423" spans="1:7" x14ac:dyDescent="0.2">
      <c r="A423">
        <v>119</v>
      </c>
      <c r="B423">
        <v>120.14</v>
      </c>
      <c r="C423" t="s">
        <v>382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119</v>
      </c>
      <c r="B424">
        <v>117.17</v>
      </c>
      <c r="C424" t="s">
        <v>383</v>
      </c>
      <c r="D424">
        <v>1</v>
      </c>
      <c r="E424">
        <v>0</v>
      </c>
      <c r="F424">
        <v>0</v>
      </c>
      <c r="G424">
        <v>0</v>
      </c>
    </row>
    <row r="425" spans="1:7" x14ac:dyDescent="0.2">
      <c r="A425">
        <v>119</v>
      </c>
      <c r="B425" t="s">
        <v>139</v>
      </c>
      <c r="C425" t="s">
        <v>384</v>
      </c>
      <c r="D425">
        <v>0</v>
      </c>
      <c r="E425">
        <v>0</v>
      </c>
      <c r="F425">
        <v>0</v>
      </c>
      <c r="G425">
        <v>0</v>
      </c>
    </row>
    <row r="426" spans="1:7" x14ac:dyDescent="0.2">
      <c r="A426">
        <v>120</v>
      </c>
      <c r="B426">
        <v>117.17</v>
      </c>
      <c r="C426" t="s">
        <v>385</v>
      </c>
      <c r="D426">
        <v>0</v>
      </c>
      <c r="E426">
        <v>0</v>
      </c>
      <c r="F426">
        <v>0</v>
      </c>
      <c r="G426">
        <v>0</v>
      </c>
    </row>
    <row r="427" spans="1:7" x14ac:dyDescent="0.2">
      <c r="A427">
        <v>120</v>
      </c>
      <c r="B427">
        <v>120.17</v>
      </c>
      <c r="C427" t="s">
        <v>158</v>
      </c>
      <c r="D427">
        <v>0</v>
      </c>
      <c r="E427">
        <v>1</v>
      </c>
      <c r="F427">
        <v>0</v>
      </c>
      <c r="G427">
        <v>0</v>
      </c>
    </row>
    <row r="428" spans="1:7" x14ac:dyDescent="0.2">
      <c r="A428">
        <v>120</v>
      </c>
      <c r="B428" t="s">
        <v>139</v>
      </c>
      <c r="C428" t="s">
        <v>386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120</v>
      </c>
      <c r="B429">
        <v>120.14</v>
      </c>
      <c r="C429" t="s">
        <v>387</v>
      </c>
      <c r="D429">
        <v>0</v>
      </c>
      <c r="E429">
        <v>1</v>
      </c>
      <c r="F429">
        <v>0</v>
      </c>
      <c r="G429">
        <v>1</v>
      </c>
    </row>
    <row r="430" spans="1:7" x14ac:dyDescent="0.2">
      <c r="A430">
        <v>121</v>
      </c>
      <c r="B430" t="s">
        <v>139</v>
      </c>
      <c r="C430" t="s">
        <v>190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121</v>
      </c>
      <c r="B431">
        <v>117.17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">
      <c r="A432">
        <v>121</v>
      </c>
      <c r="B432">
        <v>120.14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">
      <c r="A433">
        <v>121</v>
      </c>
      <c r="B433">
        <v>120.17</v>
      </c>
      <c r="C433" t="s">
        <v>190</v>
      </c>
      <c r="D433">
        <v>0</v>
      </c>
      <c r="E433">
        <v>0</v>
      </c>
      <c r="F433">
        <v>0</v>
      </c>
      <c r="G433">
        <v>0</v>
      </c>
    </row>
    <row r="434" spans="1:7" x14ac:dyDescent="0.2">
      <c r="A434">
        <v>122</v>
      </c>
      <c r="B434">
        <v>120.14</v>
      </c>
      <c r="C434" t="s">
        <v>388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122</v>
      </c>
      <c r="B435" t="s">
        <v>139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122</v>
      </c>
      <c r="B436">
        <v>120.17</v>
      </c>
      <c r="C436" t="s">
        <v>190</v>
      </c>
      <c r="D436">
        <v>0</v>
      </c>
      <c r="E436">
        <v>0</v>
      </c>
      <c r="F436">
        <v>0</v>
      </c>
      <c r="G436">
        <v>0</v>
      </c>
    </row>
    <row r="437" spans="1:7" x14ac:dyDescent="0.2">
      <c r="A437">
        <v>122</v>
      </c>
      <c r="B437">
        <v>117.17</v>
      </c>
      <c r="C437" t="s">
        <v>389</v>
      </c>
      <c r="D437">
        <v>0</v>
      </c>
      <c r="E437">
        <v>0</v>
      </c>
      <c r="F437">
        <v>0</v>
      </c>
      <c r="G437">
        <v>0</v>
      </c>
    </row>
    <row r="438" spans="1:7" x14ac:dyDescent="0.2">
      <c r="A438">
        <v>123</v>
      </c>
      <c r="B438">
        <v>120.17</v>
      </c>
      <c r="C438" t="s">
        <v>390</v>
      </c>
      <c r="D438">
        <v>1</v>
      </c>
      <c r="E438">
        <v>0</v>
      </c>
      <c r="F438">
        <v>0</v>
      </c>
      <c r="G438">
        <v>0</v>
      </c>
    </row>
    <row r="439" spans="1:7" x14ac:dyDescent="0.2">
      <c r="A439">
        <v>123</v>
      </c>
      <c r="B439">
        <v>120.14</v>
      </c>
      <c r="C439" t="s">
        <v>391</v>
      </c>
      <c r="D439">
        <v>0</v>
      </c>
      <c r="E439">
        <v>0</v>
      </c>
      <c r="F439">
        <v>0</v>
      </c>
      <c r="G439">
        <v>1</v>
      </c>
    </row>
    <row r="440" spans="1:7" x14ac:dyDescent="0.2">
      <c r="A440">
        <v>123</v>
      </c>
      <c r="B440">
        <v>117.17</v>
      </c>
      <c r="C440" t="s">
        <v>392</v>
      </c>
      <c r="D440">
        <v>0</v>
      </c>
      <c r="E440">
        <v>0</v>
      </c>
      <c r="F440">
        <v>0</v>
      </c>
      <c r="G440">
        <v>0</v>
      </c>
    </row>
    <row r="441" spans="1:7" x14ac:dyDescent="0.2">
      <c r="A441">
        <v>123</v>
      </c>
      <c r="B441" t="s">
        <v>139</v>
      </c>
      <c r="C441" t="s">
        <v>393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124</v>
      </c>
      <c r="B442">
        <v>117.17</v>
      </c>
      <c r="C442" t="s">
        <v>164</v>
      </c>
      <c r="D442">
        <v>0</v>
      </c>
      <c r="E442">
        <v>0</v>
      </c>
      <c r="F442">
        <v>0</v>
      </c>
      <c r="G442">
        <v>0</v>
      </c>
    </row>
    <row r="443" spans="1:7" x14ac:dyDescent="0.2">
      <c r="A443">
        <v>124</v>
      </c>
      <c r="B443">
        <v>120.17</v>
      </c>
      <c r="C443" t="s">
        <v>163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124</v>
      </c>
      <c r="B444" t="s">
        <v>139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">
      <c r="A445">
        <v>124</v>
      </c>
      <c r="B445">
        <v>120.14</v>
      </c>
      <c r="C445" t="s">
        <v>164</v>
      </c>
      <c r="D445">
        <v>0</v>
      </c>
      <c r="E445">
        <v>0</v>
      </c>
      <c r="F445">
        <v>0</v>
      </c>
      <c r="G445">
        <v>0</v>
      </c>
    </row>
    <row r="446" spans="1:7" x14ac:dyDescent="0.2">
      <c r="A446">
        <v>125</v>
      </c>
      <c r="B446" t="s">
        <v>139</v>
      </c>
      <c r="C446" t="s">
        <v>394</v>
      </c>
      <c r="D446">
        <v>0</v>
      </c>
      <c r="E446">
        <v>0</v>
      </c>
      <c r="F446">
        <v>0</v>
      </c>
      <c r="G446">
        <v>1</v>
      </c>
    </row>
    <row r="447" spans="1:7" x14ac:dyDescent="0.2">
      <c r="A447">
        <v>125</v>
      </c>
      <c r="B447">
        <v>117.17</v>
      </c>
      <c r="C447" t="s">
        <v>395</v>
      </c>
      <c r="D447">
        <v>1</v>
      </c>
      <c r="E447">
        <v>0</v>
      </c>
      <c r="F447">
        <v>0</v>
      </c>
      <c r="G447">
        <v>1</v>
      </c>
    </row>
    <row r="448" spans="1:7" x14ac:dyDescent="0.2">
      <c r="A448">
        <v>125</v>
      </c>
      <c r="B448">
        <v>120.14</v>
      </c>
      <c r="C448" t="s">
        <v>396</v>
      </c>
      <c r="D448">
        <v>0</v>
      </c>
      <c r="E448">
        <v>0</v>
      </c>
      <c r="F448">
        <v>0</v>
      </c>
      <c r="G448">
        <v>1</v>
      </c>
    </row>
    <row r="449" spans="1:7" x14ac:dyDescent="0.2">
      <c r="A449">
        <v>125</v>
      </c>
      <c r="B449">
        <v>120.17</v>
      </c>
      <c r="C449" t="s">
        <v>397</v>
      </c>
      <c r="D449">
        <v>1</v>
      </c>
      <c r="E449">
        <v>1</v>
      </c>
      <c r="F449">
        <v>0</v>
      </c>
      <c r="G449">
        <v>1</v>
      </c>
    </row>
    <row r="450" spans="1:7" x14ac:dyDescent="0.2">
      <c r="A450">
        <v>126</v>
      </c>
      <c r="B450">
        <v>120.14</v>
      </c>
      <c r="C450" t="s">
        <v>398</v>
      </c>
      <c r="D450">
        <v>0</v>
      </c>
      <c r="E450">
        <v>1</v>
      </c>
      <c r="F450">
        <v>0</v>
      </c>
      <c r="G450">
        <v>0</v>
      </c>
    </row>
    <row r="451" spans="1:7" x14ac:dyDescent="0.2">
      <c r="A451">
        <v>126</v>
      </c>
      <c r="B451" t="s">
        <v>139</v>
      </c>
      <c r="C451" t="s">
        <v>399</v>
      </c>
      <c r="D451">
        <v>1</v>
      </c>
      <c r="E451">
        <v>1</v>
      </c>
      <c r="F451">
        <v>0</v>
      </c>
      <c r="G451">
        <v>0</v>
      </c>
    </row>
    <row r="452" spans="1:7" x14ac:dyDescent="0.2">
      <c r="A452">
        <v>126</v>
      </c>
      <c r="B452">
        <v>120.17</v>
      </c>
      <c r="C452" t="s">
        <v>400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126</v>
      </c>
      <c r="B453">
        <v>117.17</v>
      </c>
      <c r="C453" t="s">
        <v>401</v>
      </c>
      <c r="D453">
        <v>0</v>
      </c>
      <c r="E453">
        <v>1</v>
      </c>
      <c r="F453">
        <v>0</v>
      </c>
      <c r="G453">
        <v>0</v>
      </c>
    </row>
    <row r="454" spans="1:7" x14ac:dyDescent="0.2">
      <c r="A454">
        <v>127</v>
      </c>
      <c r="B454">
        <v>120.17</v>
      </c>
      <c r="C454" t="s">
        <v>402</v>
      </c>
      <c r="D454">
        <v>0</v>
      </c>
      <c r="E454">
        <v>0</v>
      </c>
      <c r="F454">
        <v>0</v>
      </c>
      <c r="G454">
        <v>1</v>
      </c>
    </row>
    <row r="455" spans="1:7" x14ac:dyDescent="0.2">
      <c r="A455">
        <v>127</v>
      </c>
      <c r="B455">
        <v>120.14</v>
      </c>
      <c r="C455" t="s">
        <v>403</v>
      </c>
      <c r="D455">
        <v>0</v>
      </c>
      <c r="E455">
        <v>0</v>
      </c>
      <c r="F455">
        <v>1</v>
      </c>
      <c r="G455">
        <v>0</v>
      </c>
    </row>
    <row r="456" spans="1:7" x14ac:dyDescent="0.2">
      <c r="A456">
        <v>127</v>
      </c>
      <c r="B456">
        <v>117.17</v>
      </c>
      <c r="C456" t="s">
        <v>404</v>
      </c>
      <c r="D456">
        <v>1</v>
      </c>
      <c r="E456">
        <v>0</v>
      </c>
      <c r="F456">
        <v>0</v>
      </c>
      <c r="G456">
        <v>0</v>
      </c>
    </row>
    <row r="457" spans="1:7" x14ac:dyDescent="0.2">
      <c r="A457">
        <v>127</v>
      </c>
      <c r="B457" t="s">
        <v>139</v>
      </c>
      <c r="C457" t="s">
        <v>405</v>
      </c>
      <c r="D457">
        <v>0</v>
      </c>
      <c r="E457">
        <v>0</v>
      </c>
      <c r="F457">
        <v>1</v>
      </c>
      <c r="G457">
        <v>0</v>
      </c>
    </row>
    <row r="458" spans="1:7" x14ac:dyDescent="0.2">
      <c r="A458">
        <v>128</v>
      </c>
      <c r="B458">
        <v>117.17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">
      <c r="A459">
        <v>128</v>
      </c>
      <c r="B459">
        <v>120.17</v>
      </c>
      <c r="C459" t="s">
        <v>164</v>
      </c>
      <c r="D459">
        <v>0</v>
      </c>
      <c r="E459">
        <v>0</v>
      </c>
      <c r="F459">
        <v>0</v>
      </c>
      <c r="G459">
        <v>0</v>
      </c>
    </row>
    <row r="460" spans="1:7" x14ac:dyDescent="0.2">
      <c r="A460">
        <v>128</v>
      </c>
      <c r="B460" t="s">
        <v>139</v>
      </c>
      <c r="C460" t="s">
        <v>148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128</v>
      </c>
      <c r="B461">
        <v>120.14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">
      <c r="A462">
        <v>129</v>
      </c>
      <c r="B462" t="s">
        <v>139</v>
      </c>
      <c r="C462" t="s">
        <v>164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129</v>
      </c>
      <c r="B463">
        <v>117.17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129</v>
      </c>
      <c r="B464">
        <v>120.14</v>
      </c>
      <c r="C464" t="s">
        <v>406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129</v>
      </c>
      <c r="B465">
        <v>120.17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130</v>
      </c>
      <c r="B466">
        <v>120.14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130</v>
      </c>
      <c r="B467" t="s">
        <v>139</v>
      </c>
      <c r="C467" t="s">
        <v>164</v>
      </c>
      <c r="D467">
        <v>0</v>
      </c>
      <c r="E467">
        <v>0</v>
      </c>
      <c r="F467">
        <v>0</v>
      </c>
      <c r="G467">
        <v>0</v>
      </c>
    </row>
    <row r="468" spans="1:7" x14ac:dyDescent="0.2">
      <c r="A468">
        <v>130</v>
      </c>
      <c r="B468">
        <v>120.17</v>
      </c>
      <c r="C468" t="s">
        <v>149</v>
      </c>
      <c r="D468">
        <v>0</v>
      </c>
      <c r="E468">
        <v>0</v>
      </c>
      <c r="F468">
        <v>0</v>
      </c>
      <c r="G468">
        <v>0</v>
      </c>
    </row>
    <row r="469" spans="1:7" x14ac:dyDescent="0.2">
      <c r="A469">
        <v>130</v>
      </c>
      <c r="B469">
        <v>117.17</v>
      </c>
      <c r="C469" t="s">
        <v>265</v>
      </c>
      <c r="D469">
        <v>0</v>
      </c>
      <c r="E469">
        <v>0</v>
      </c>
      <c r="F469">
        <v>0</v>
      </c>
      <c r="G469">
        <v>0</v>
      </c>
    </row>
    <row r="470" spans="1:7" x14ac:dyDescent="0.2">
      <c r="A470">
        <v>131</v>
      </c>
      <c r="B470">
        <v>120.17</v>
      </c>
      <c r="C470" t="s">
        <v>407</v>
      </c>
      <c r="D470">
        <v>0</v>
      </c>
      <c r="E470">
        <v>1</v>
      </c>
      <c r="F470">
        <v>0</v>
      </c>
      <c r="G470">
        <v>1</v>
      </c>
    </row>
    <row r="471" spans="1:7" x14ac:dyDescent="0.2">
      <c r="A471">
        <v>131</v>
      </c>
      <c r="B471">
        <v>120.14</v>
      </c>
      <c r="C471" t="s">
        <v>164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131</v>
      </c>
      <c r="B472">
        <v>117.17</v>
      </c>
      <c r="C472" t="s">
        <v>295</v>
      </c>
      <c r="D472">
        <v>1</v>
      </c>
      <c r="E472">
        <v>0</v>
      </c>
      <c r="F472">
        <v>0</v>
      </c>
      <c r="G472">
        <v>0</v>
      </c>
    </row>
    <row r="473" spans="1:7" x14ac:dyDescent="0.2">
      <c r="A473">
        <v>131</v>
      </c>
      <c r="B473" t="s">
        <v>139</v>
      </c>
      <c r="C473" t="s">
        <v>158</v>
      </c>
      <c r="D473">
        <v>0</v>
      </c>
      <c r="E473">
        <v>1</v>
      </c>
      <c r="F473">
        <v>0</v>
      </c>
      <c r="G473">
        <v>0</v>
      </c>
    </row>
    <row r="474" spans="1:7" x14ac:dyDescent="0.2">
      <c r="A474">
        <v>132</v>
      </c>
      <c r="B474">
        <v>117.17</v>
      </c>
      <c r="C474" t="s">
        <v>164</v>
      </c>
      <c r="D474">
        <v>0</v>
      </c>
      <c r="E474">
        <v>0</v>
      </c>
      <c r="F474">
        <v>0</v>
      </c>
      <c r="G474">
        <v>0</v>
      </c>
    </row>
    <row r="475" spans="1:7" x14ac:dyDescent="0.2">
      <c r="A475">
        <v>132</v>
      </c>
      <c r="B475">
        <v>120.17</v>
      </c>
      <c r="C475" t="s">
        <v>164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132</v>
      </c>
      <c r="B476" t="s">
        <v>139</v>
      </c>
      <c r="C476" t="s">
        <v>164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132</v>
      </c>
      <c r="B477">
        <v>120.14</v>
      </c>
      <c r="C477" t="s">
        <v>164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133</v>
      </c>
      <c r="B478" t="s">
        <v>139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133</v>
      </c>
      <c r="B479">
        <v>117.17</v>
      </c>
      <c r="C479" t="s">
        <v>158</v>
      </c>
      <c r="D479">
        <v>0</v>
      </c>
      <c r="E479">
        <v>1</v>
      </c>
      <c r="F479">
        <v>0</v>
      </c>
      <c r="G479">
        <v>0</v>
      </c>
    </row>
    <row r="480" spans="1:7" x14ac:dyDescent="0.2">
      <c r="A480">
        <v>133</v>
      </c>
      <c r="B480">
        <v>120.14</v>
      </c>
      <c r="C480" t="s">
        <v>408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133</v>
      </c>
      <c r="B481">
        <v>120.17</v>
      </c>
      <c r="C481" t="s">
        <v>372</v>
      </c>
      <c r="D481">
        <v>0</v>
      </c>
      <c r="E481">
        <v>0</v>
      </c>
      <c r="F481">
        <v>0</v>
      </c>
      <c r="G481">
        <v>1</v>
      </c>
    </row>
    <row r="482" spans="1:7" x14ac:dyDescent="0.2">
      <c r="A482">
        <v>134</v>
      </c>
      <c r="B482">
        <v>120.14</v>
      </c>
      <c r="C482" t="s">
        <v>164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134</v>
      </c>
      <c r="B483" t="s">
        <v>139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">
      <c r="A484">
        <v>134</v>
      </c>
      <c r="B484">
        <v>120.17</v>
      </c>
      <c r="C484" t="s">
        <v>409</v>
      </c>
      <c r="D484">
        <v>0</v>
      </c>
      <c r="E484">
        <v>0</v>
      </c>
      <c r="F484">
        <v>0</v>
      </c>
      <c r="G484">
        <v>0</v>
      </c>
    </row>
    <row r="485" spans="1:7" x14ac:dyDescent="0.2">
      <c r="A485">
        <v>134</v>
      </c>
      <c r="B485">
        <v>117.17</v>
      </c>
      <c r="C485" t="s">
        <v>149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135</v>
      </c>
      <c r="B486">
        <v>120.17</v>
      </c>
      <c r="C486" t="s">
        <v>164</v>
      </c>
      <c r="D486">
        <v>0</v>
      </c>
      <c r="E486">
        <v>0</v>
      </c>
      <c r="F486">
        <v>0</v>
      </c>
      <c r="G486">
        <v>0</v>
      </c>
    </row>
    <row r="487" spans="1:7" x14ac:dyDescent="0.2">
      <c r="A487">
        <v>135</v>
      </c>
      <c r="B487">
        <v>120.14</v>
      </c>
      <c r="C487" t="s">
        <v>148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135</v>
      </c>
      <c r="B488">
        <v>117.17</v>
      </c>
      <c r="C488" t="s">
        <v>224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135</v>
      </c>
      <c r="B489" t="s">
        <v>139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">
      <c r="A490">
        <v>136</v>
      </c>
      <c r="B490">
        <v>117.17</v>
      </c>
      <c r="C490" t="s">
        <v>410</v>
      </c>
      <c r="D490">
        <v>0</v>
      </c>
      <c r="E490">
        <v>0</v>
      </c>
      <c r="F490">
        <v>0</v>
      </c>
      <c r="G490">
        <v>0</v>
      </c>
    </row>
    <row r="491" spans="1:7" x14ac:dyDescent="0.2">
      <c r="A491">
        <v>136</v>
      </c>
      <c r="B491">
        <v>120.17</v>
      </c>
      <c r="C491" t="s">
        <v>411</v>
      </c>
      <c r="D491">
        <v>0</v>
      </c>
      <c r="E491">
        <v>0</v>
      </c>
      <c r="F491">
        <v>0</v>
      </c>
      <c r="G491">
        <v>0</v>
      </c>
    </row>
    <row r="492" spans="1:7" x14ac:dyDescent="0.2">
      <c r="A492">
        <v>136</v>
      </c>
      <c r="B492" t="s">
        <v>139</v>
      </c>
      <c r="C492" t="s">
        <v>224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136</v>
      </c>
      <c r="B493">
        <v>120.14</v>
      </c>
      <c r="C493" t="s">
        <v>412</v>
      </c>
      <c r="D493">
        <v>0</v>
      </c>
      <c r="E493">
        <v>0</v>
      </c>
      <c r="F493">
        <v>0</v>
      </c>
      <c r="G493">
        <v>0</v>
      </c>
    </row>
    <row r="494" spans="1:7" x14ac:dyDescent="0.2">
      <c r="A494">
        <v>137</v>
      </c>
      <c r="B494" t="s">
        <v>139</v>
      </c>
      <c r="C494" t="s">
        <v>413</v>
      </c>
      <c r="D494">
        <v>0</v>
      </c>
      <c r="E494">
        <v>1</v>
      </c>
      <c r="F494">
        <v>0</v>
      </c>
      <c r="G494">
        <v>0</v>
      </c>
    </row>
    <row r="495" spans="1:7" x14ac:dyDescent="0.2">
      <c r="A495">
        <v>137</v>
      </c>
      <c r="B495">
        <v>117.17</v>
      </c>
      <c r="C495" t="s">
        <v>346</v>
      </c>
      <c r="D495">
        <v>0</v>
      </c>
      <c r="E495">
        <v>0</v>
      </c>
      <c r="F495">
        <v>0</v>
      </c>
      <c r="G495">
        <v>0</v>
      </c>
    </row>
    <row r="496" spans="1:7" x14ac:dyDescent="0.2">
      <c r="A496">
        <v>137</v>
      </c>
      <c r="B496">
        <v>120.14</v>
      </c>
      <c r="C496" t="s">
        <v>414</v>
      </c>
      <c r="D496">
        <v>0</v>
      </c>
      <c r="E496">
        <v>0</v>
      </c>
      <c r="F496">
        <v>0</v>
      </c>
      <c r="G496">
        <v>0</v>
      </c>
    </row>
    <row r="497" spans="1:7" x14ac:dyDescent="0.2">
      <c r="A497">
        <v>137</v>
      </c>
      <c r="B497">
        <v>120.17</v>
      </c>
      <c r="C497" t="s">
        <v>174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138</v>
      </c>
      <c r="B498">
        <v>120.14</v>
      </c>
      <c r="C498" t="s">
        <v>415</v>
      </c>
      <c r="D498">
        <v>0</v>
      </c>
      <c r="E498">
        <v>0</v>
      </c>
      <c r="F498">
        <v>0</v>
      </c>
      <c r="G498">
        <v>0</v>
      </c>
    </row>
    <row r="499" spans="1:7" x14ac:dyDescent="0.2">
      <c r="A499">
        <v>138</v>
      </c>
      <c r="B499" t="s">
        <v>139</v>
      </c>
      <c r="C499" t="s">
        <v>416</v>
      </c>
      <c r="D499">
        <v>0</v>
      </c>
      <c r="E499">
        <v>0</v>
      </c>
      <c r="F499">
        <v>1</v>
      </c>
      <c r="G499">
        <v>0</v>
      </c>
    </row>
    <row r="500" spans="1:7" x14ac:dyDescent="0.2">
      <c r="A500">
        <v>138</v>
      </c>
      <c r="B500">
        <v>120.17</v>
      </c>
      <c r="C500" t="s">
        <v>417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138</v>
      </c>
      <c r="B501">
        <v>117.17</v>
      </c>
      <c r="C501" t="s">
        <v>418</v>
      </c>
      <c r="D501">
        <v>1</v>
      </c>
      <c r="E501">
        <v>0</v>
      </c>
      <c r="F501">
        <v>0</v>
      </c>
      <c r="G501">
        <v>0</v>
      </c>
    </row>
    <row r="502" spans="1:7" x14ac:dyDescent="0.2">
      <c r="A502">
        <v>139</v>
      </c>
      <c r="B502">
        <v>120.17</v>
      </c>
      <c r="C502" t="s">
        <v>335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139</v>
      </c>
      <c r="B503">
        <v>120.14</v>
      </c>
      <c r="C503" t="s">
        <v>419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139</v>
      </c>
      <c r="B504">
        <v>117.17</v>
      </c>
      <c r="C504" t="s">
        <v>420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139</v>
      </c>
      <c r="B505" t="s">
        <v>139</v>
      </c>
      <c r="C505" t="s">
        <v>421</v>
      </c>
      <c r="D505">
        <v>1</v>
      </c>
      <c r="E505">
        <v>0</v>
      </c>
      <c r="F505">
        <v>0</v>
      </c>
      <c r="G505">
        <v>1</v>
      </c>
    </row>
    <row r="506" spans="1:7" x14ac:dyDescent="0.2">
      <c r="A506">
        <v>140</v>
      </c>
      <c r="B506">
        <v>117.17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">
      <c r="A507">
        <v>140</v>
      </c>
      <c r="B507">
        <v>120.17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">
      <c r="A508">
        <v>140</v>
      </c>
      <c r="B508" t="s">
        <v>139</v>
      </c>
      <c r="C508" t="s">
        <v>422</v>
      </c>
      <c r="D508">
        <v>0</v>
      </c>
      <c r="E508">
        <v>0</v>
      </c>
      <c r="F508">
        <v>0</v>
      </c>
      <c r="G508">
        <v>0</v>
      </c>
    </row>
    <row r="509" spans="1:7" x14ac:dyDescent="0.2">
      <c r="A509">
        <v>140</v>
      </c>
      <c r="B509">
        <v>120.14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141</v>
      </c>
      <c r="B510" t="s">
        <v>139</v>
      </c>
      <c r="C510" t="s">
        <v>423</v>
      </c>
      <c r="D510">
        <v>0</v>
      </c>
      <c r="E510">
        <v>1</v>
      </c>
      <c r="F510">
        <v>0</v>
      </c>
      <c r="G510">
        <v>0</v>
      </c>
    </row>
    <row r="511" spans="1:7" x14ac:dyDescent="0.2">
      <c r="A511">
        <v>141</v>
      </c>
      <c r="B511">
        <v>117.17</v>
      </c>
      <c r="C511" t="s">
        <v>424</v>
      </c>
      <c r="D511">
        <v>0</v>
      </c>
      <c r="E511">
        <v>0</v>
      </c>
      <c r="F511">
        <v>0</v>
      </c>
      <c r="G511">
        <v>1</v>
      </c>
    </row>
    <row r="512" spans="1:7" x14ac:dyDescent="0.2">
      <c r="A512">
        <v>141</v>
      </c>
      <c r="B512">
        <v>120.14</v>
      </c>
      <c r="C512" t="s">
        <v>425</v>
      </c>
      <c r="D512">
        <v>1</v>
      </c>
      <c r="E512">
        <v>0</v>
      </c>
      <c r="F512">
        <v>0</v>
      </c>
      <c r="G512">
        <v>0</v>
      </c>
    </row>
    <row r="513" spans="1:7" x14ac:dyDescent="0.2">
      <c r="A513">
        <v>141</v>
      </c>
      <c r="B513">
        <v>120.17</v>
      </c>
      <c r="C513" t="s">
        <v>164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142</v>
      </c>
      <c r="B514">
        <v>120.14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142</v>
      </c>
      <c r="B515" t="s">
        <v>139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142</v>
      </c>
      <c r="B516">
        <v>120.17</v>
      </c>
      <c r="C516" t="s">
        <v>193</v>
      </c>
      <c r="D516">
        <v>1</v>
      </c>
      <c r="E516">
        <v>0</v>
      </c>
      <c r="F516">
        <v>0</v>
      </c>
      <c r="G516">
        <v>0</v>
      </c>
    </row>
    <row r="517" spans="1:7" x14ac:dyDescent="0.2">
      <c r="A517">
        <v>142</v>
      </c>
      <c r="B517">
        <v>117.17</v>
      </c>
      <c r="C517" t="s">
        <v>170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143</v>
      </c>
      <c r="B518">
        <v>120.17</v>
      </c>
      <c r="C518" t="s">
        <v>164</v>
      </c>
      <c r="D518">
        <v>0</v>
      </c>
      <c r="E518">
        <v>0</v>
      </c>
      <c r="F518">
        <v>0</v>
      </c>
      <c r="G518">
        <v>0</v>
      </c>
    </row>
    <row r="519" spans="1:7" x14ac:dyDescent="0.2">
      <c r="A519">
        <v>143</v>
      </c>
      <c r="B519">
        <v>120.14</v>
      </c>
      <c r="C519" t="s">
        <v>158</v>
      </c>
      <c r="D519">
        <v>0</v>
      </c>
      <c r="E519">
        <v>1</v>
      </c>
      <c r="F519">
        <v>0</v>
      </c>
      <c r="G519">
        <v>0</v>
      </c>
    </row>
    <row r="520" spans="1:7" x14ac:dyDescent="0.2">
      <c r="A520">
        <v>143</v>
      </c>
      <c r="B520">
        <v>117.17</v>
      </c>
      <c r="C520" t="s">
        <v>193</v>
      </c>
      <c r="D520">
        <v>1</v>
      </c>
      <c r="E520">
        <v>0</v>
      </c>
      <c r="F520">
        <v>0</v>
      </c>
      <c r="G520">
        <v>0</v>
      </c>
    </row>
    <row r="521" spans="1:7" x14ac:dyDescent="0.2">
      <c r="A521">
        <v>143</v>
      </c>
      <c r="B521" t="s">
        <v>139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">
      <c r="A522">
        <v>144</v>
      </c>
      <c r="B522">
        <v>117.17</v>
      </c>
      <c r="C522" t="s">
        <v>335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144</v>
      </c>
      <c r="B523">
        <v>120.17</v>
      </c>
      <c r="C523" t="s">
        <v>308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144</v>
      </c>
      <c r="B524" t="s">
        <v>139</v>
      </c>
      <c r="C524" t="s">
        <v>308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144</v>
      </c>
      <c r="B525">
        <v>120.14</v>
      </c>
      <c r="C525" t="s">
        <v>206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145</v>
      </c>
      <c r="B526" t="s">
        <v>139</v>
      </c>
      <c r="C526" t="s">
        <v>426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145</v>
      </c>
      <c r="B527">
        <v>117.17</v>
      </c>
      <c r="C527" t="s">
        <v>205</v>
      </c>
      <c r="D527">
        <v>0</v>
      </c>
      <c r="E527">
        <v>0</v>
      </c>
      <c r="F527">
        <v>0</v>
      </c>
      <c r="G527">
        <v>0</v>
      </c>
    </row>
    <row r="528" spans="1:7" x14ac:dyDescent="0.2">
      <c r="A528">
        <v>145</v>
      </c>
      <c r="B528">
        <v>120.14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">
      <c r="A529">
        <v>145</v>
      </c>
      <c r="B529">
        <v>120.17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">
      <c r="A530">
        <v>146</v>
      </c>
      <c r="B530">
        <v>120.14</v>
      </c>
      <c r="C530" t="s">
        <v>427</v>
      </c>
      <c r="D530">
        <v>0</v>
      </c>
      <c r="E530">
        <v>1</v>
      </c>
      <c r="F530">
        <v>0</v>
      </c>
      <c r="G530">
        <v>0</v>
      </c>
    </row>
    <row r="531" spans="1:7" x14ac:dyDescent="0.2">
      <c r="A531">
        <v>146</v>
      </c>
      <c r="B531" t="s">
        <v>139</v>
      </c>
      <c r="C531" t="s">
        <v>428</v>
      </c>
      <c r="D531">
        <v>0</v>
      </c>
      <c r="E531">
        <v>1</v>
      </c>
      <c r="F531">
        <v>0</v>
      </c>
      <c r="G531">
        <v>0</v>
      </c>
    </row>
    <row r="532" spans="1:7" x14ac:dyDescent="0.2">
      <c r="A532">
        <v>146</v>
      </c>
      <c r="B532">
        <v>120.17</v>
      </c>
      <c r="C532" t="s">
        <v>429</v>
      </c>
      <c r="D532">
        <v>0</v>
      </c>
      <c r="E532">
        <v>0</v>
      </c>
      <c r="F532">
        <v>0</v>
      </c>
      <c r="G532">
        <v>1</v>
      </c>
    </row>
    <row r="533" spans="1:7" x14ac:dyDescent="0.2">
      <c r="A533">
        <v>146</v>
      </c>
      <c r="B533">
        <v>117.17</v>
      </c>
      <c r="C533" t="s">
        <v>430</v>
      </c>
      <c r="D533">
        <v>1</v>
      </c>
      <c r="E533">
        <v>0</v>
      </c>
      <c r="F533">
        <v>0</v>
      </c>
      <c r="G533">
        <v>1</v>
      </c>
    </row>
    <row r="534" spans="1:7" x14ac:dyDescent="0.2">
      <c r="A534">
        <v>147</v>
      </c>
      <c r="B534">
        <v>120.17</v>
      </c>
      <c r="C534" t="s">
        <v>164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147</v>
      </c>
      <c r="B535">
        <v>120.14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147</v>
      </c>
      <c r="B536">
        <v>117.17</v>
      </c>
      <c r="C536" t="s">
        <v>164</v>
      </c>
      <c r="D536">
        <v>0</v>
      </c>
      <c r="E536">
        <v>0</v>
      </c>
      <c r="F536">
        <v>0</v>
      </c>
      <c r="G536">
        <v>0</v>
      </c>
    </row>
    <row r="537" spans="1:7" x14ac:dyDescent="0.2">
      <c r="A537">
        <v>147</v>
      </c>
      <c r="B537" t="s">
        <v>139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">
      <c r="A538">
        <v>148</v>
      </c>
      <c r="B538">
        <v>117.17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148</v>
      </c>
      <c r="B539">
        <v>120.17</v>
      </c>
      <c r="C539" t="s">
        <v>164</v>
      </c>
      <c r="D539">
        <v>0</v>
      </c>
      <c r="E539">
        <v>0</v>
      </c>
      <c r="F539">
        <v>0</v>
      </c>
      <c r="G539">
        <v>0</v>
      </c>
    </row>
    <row r="540" spans="1:7" x14ac:dyDescent="0.2">
      <c r="A540">
        <v>148</v>
      </c>
      <c r="B540" t="s">
        <v>139</v>
      </c>
      <c r="C540" t="s">
        <v>150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148</v>
      </c>
      <c r="B541">
        <v>120.14</v>
      </c>
      <c r="C541" t="s">
        <v>224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158</v>
      </c>
      <c r="B542">
        <v>120.14</v>
      </c>
      <c r="C542" t="s">
        <v>164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158</v>
      </c>
      <c r="B543" t="s">
        <v>139</v>
      </c>
      <c r="C543" t="s">
        <v>164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158</v>
      </c>
      <c r="B544">
        <v>120.17</v>
      </c>
      <c r="C544" t="s">
        <v>204</v>
      </c>
      <c r="D544">
        <v>1</v>
      </c>
      <c r="E544">
        <v>0</v>
      </c>
      <c r="F544">
        <v>0</v>
      </c>
      <c r="G544">
        <v>0</v>
      </c>
    </row>
    <row r="545" spans="1:7" x14ac:dyDescent="0.2">
      <c r="A545">
        <v>158</v>
      </c>
      <c r="B545">
        <v>117.17</v>
      </c>
      <c r="C545" t="s">
        <v>431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159</v>
      </c>
      <c r="B546">
        <v>120.17</v>
      </c>
      <c r="C546" t="s">
        <v>164</v>
      </c>
      <c r="D546">
        <v>0</v>
      </c>
      <c r="E546">
        <v>0</v>
      </c>
      <c r="F546">
        <v>0</v>
      </c>
      <c r="G546">
        <v>0</v>
      </c>
    </row>
    <row r="547" spans="1:7" x14ac:dyDescent="0.2">
      <c r="A547">
        <v>159</v>
      </c>
      <c r="B547">
        <v>120.14</v>
      </c>
      <c r="C547" t="s">
        <v>164</v>
      </c>
      <c r="D547">
        <v>0</v>
      </c>
      <c r="E547">
        <v>0</v>
      </c>
      <c r="F547">
        <v>0</v>
      </c>
      <c r="G547">
        <v>0</v>
      </c>
    </row>
    <row r="548" spans="1:7" x14ac:dyDescent="0.2">
      <c r="A548">
        <v>159</v>
      </c>
      <c r="B548">
        <v>117.17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159</v>
      </c>
      <c r="B549" t="s">
        <v>139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">
      <c r="A550">
        <v>160</v>
      </c>
      <c r="B550">
        <v>117.17</v>
      </c>
      <c r="C550" t="s">
        <v>432</v>
      </c>
      <c r="D550">
        <v>0</v>
      </c>
      <c r="E550">
        <v>0</v>
      </c>
      <c r="F550">
        <v>0</v>
      </c>
      <c r="G550">
        <v>0</v>
      </c>
    </row>
    <row r="551" spans="1:7" x14ac:dyDescent="0.2">
      <c r="A551">
        <v>160</v>
      </c>
      <c r="B551">
        <v>120.17</v>
      </c>
      <c r="C551" t="s">
        <v>433</v>
      </c>
      <c r="D551">
        <v>0</v>
      </c>
      <c r="E551">
        <v>0</v>
      </c>
      <c r="F551">
        <v>1</v>
      </c>
      <c r="G551">
        <v>0</v>
      </c>
    </row>
    <row r="552" spans="1:7" x14ac:dyDescent="0.2">
      <c r="A552">
        <v>160</v>
      </c>
      <c r="B552" t="s">
        <v>139</v>
      </c>
      <c r="C552" t="s">
        <v>434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160</v>
      </c>
      <c r="B553">
        <v>120.14</v>
      </c>
      <c r="C553" t="s">
        <v>268</v>
      </c>
      <c r="D553">
        <v>0</v>
      </c>
      <c r="E553">
        <v>0</v>
      </c>
      <c r="F553">
        <v>0</v>
      </c>
      <c r="G553"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A0313-455E-A64F-B688-EF7A1C752D8D}">
  <sheetPr codeName="XLSTAT_20201111_110229_1_HID">
    <tabColor rgb="FF007800"/>
  </sheetPr>
  <dimension ref="B2:D26"/>
  <sheetViews>
    <sheetView workbookViewId="0"/>
  </sheetViews>
  <sheetFormatPr baseColWidth="10" defaultRowHeight="16" x14ac:dyDescent="0.2"/>
  <sheetData>
    <row r="2" spans="2:4" x14ac:dyDescent="0.2">
      <c r="B2">
        <v>-0.22806242436651303</v>
      </c>
      <c r="C2">
        <v>0.22621936360774628</v>
      </c>
      <c r="D2">
        <v>0.13023106281112634</v>
      </c>
    </row>
    <row r="3" spans="2:4" x14ac:dyDescent="0.2">
      <c r="B3">
        <v>-0.15255620992236632</v>
      </c>
      <c r="C3">
        <v>-0.32930340287364956</v>
      </c>
      <c r="D3">
        <v>3.2462385751277273E-2</v>
      </c>
    </row>
    <row r="4" spans="2:4" x14ac:dyDescent="0.2">
      <c r="B4">
        <v>0.39390993579759387</v>
      </c>
      <c r="C4">
        <v>6.4381098015320248E-3</v>
      </c>
      <c r="D4">
        <v>0.12251097069066105</v>
      </c>
    </row>
    <row r="5" spans="2:4" x14ac:dyDescent="0.2">
      <c r="B5">
        <v>2.832993192619384E-2</v>
      </c>
      <c r="C5">
        <v>7.525315712892941E-2</v>
      </c>
      <c r="D5">
        <v>-0.25929235855457977</v>
      </c>
    </row>
    <row r="6" spans="2:4" x14ac:dyDescent="0.2">
      <c r="B6">
        <v>3.9643478121036503E-2</v>
      </c>
      <c r="C6">
        <v>0.17995665537402175</v>
      </c>
      <c r="D6">
        <v>-0.18772855978751851</v>
      </c>
    </row>
    <row r="7" spans="2:4" x14ac:dyDescent="0.2">
      <c r="B7">
        <v>0.35495176956371971</v>
      </c>
      <c r="C7">
        <v>0.57171496832594937</v>
      </c>
      <c r="D7">
        <v>0.78191966253720857</v>
      </c>
    </row>
    <row r="8" spans="2:4" x14ac:dyDescent="0.2">
      <c r="B8">
        <v>0.4357520908912571</v>
      </c>
      <c r="C8">
        <v>-0.11083495407553148</v>
      </c>
      <c r="D8">
        <v>0.63068393432422387</v>
      </c>
    </row>
    <row r="9" spans="2:4" x14ac:dyDescent="0.2">
      <c r="B9">
        <v>6.6388243237677252E-2</v>
      </c>
      <c r="C9">
        <v>-9.9808640246346864E-2</v>
      </c>
      <c r="D9">
        <v>4.4803153040547432E-2</v>
      </c>
    </row>
    <row r="10" spans="2:4" x14ac:dyDescent="0.2">
      <c r="B10">
        <v>-0.22982976787457485</v>
      </c>
      <c r="C10">
        <v>0.15920200351107586</v>
      </c>
      <c r="D10">
        <v>0.64262593649527888</v>
      </c>
    </row>
    <row r="11" spans="2:4" x14ac:dyDescent="0.2">
      <c r="B11">
        <v>-0.13740508772705651</v>
      </c>
      <c r="C11">
        <v>-0.1525737007194552</v>
      </c>
      <c r="D11">
        <v>0.12622304053515182</v>
      </c>
    </row>
    <row r="12" spans="2:4" x14ac:dyDescent="0.2">
      <c r="B12">
        <v>0.45009466737340348</v>
      </c>
      <c r="C12">
        <v>0.10204589502078569</v>
      </c>
      <c r="D12">
        <v>-6.8219511107321329E-2</v>
      </c>
    </row>
    <row r="13" spans="2:4" x14ac:dyDescent="0.2">
      <c r="B13">
        <v>6.8796009501259581E-2</v>
      </c>
      <c r="C13">
        <v>-5.9275533284751394E-2</v>
      </c>
      <c r="D13">
        <v>4.1477853592970404E-2</v>
      </c>
    </row>
    <row r="14" spans="2:4" x14ac:dyDescent="0.2">
      <c r="B14">
        <v>-0.12297480096791015</v>
      </c>
      <c r="C14">
        <v>0.22331009984770211</v>
      </c>
      <c r="D14">
        <v>-4.1242212230326786E-2</v>
      </c>
    </row>
    <row r="15" spans="2:4" x14ac:dyDescent="0.2">
      <c r="B15">
        <v>1.7153315311075768E-2</v>
      </c>
      <c r="C15">
        <v>0.3210851805687811</v>
      </c>
      <c r="D15">
        <v>-7.5418350766305028E-2</v>
      </c>
    </row>
    <row r="16" spans="2:4" x14ac:dyDescent="0.2">
      <c r="B16">
        <v>0.1245248817120309</v>
      </c>
      <c r="C16">
        <v>-0.49309895522244596</v>
      </c>
      <c r="D16">
        <v>-0.40979633047699787</v>
      </c>
    </row>
    <row r="17" spans="2:4" x14ac:dyDescent="0.2">
      <c r="B17">
        <v>-0.17458081794366925</v>
      </c>
      <c r="C17">
        <v>-0.16456908175941087</v>
      </c>
      <c r="D17">
        <v>-9.1288850891952308E-2</v>
      </c>
    </row>
    <row r="18" spans="2:4" x14ac:dyDescent="0.2">
      <c r="B18">
        <v>-0.30772531659908803</v>
      </c>
      <c r="C18">
        <v>9.1911311227184989E-2</v>
      </c>
      <c r="D18">
        <v>-0.15280375412293226</v>
      </c>
    </row>
    <row r="19" spans="2:4" x14ac:dyDescent="0.2">
      <c r="B19">
        <v>-0.97621194796794408</v>
      </c>
      <c r="C19">
        <v>1.111788883499164</v>
      </c>
      <c r="D19">
        <v>0.80580366687931793</v>
      </c>
    </row>
    <row r="20" spans="2:4" x14ac:dyDescent="0.2">
      <c r="B20">
        <v>3.9643478121036434E-2</v>
      </c>
      <c r="C20">
        <v>0.17995665537402178</v>
      </c>
      <c r="D20">
        <v>-0.18772855978751851</v>
      </c>
    </row>
    <row r="21" spans="2:4" x14ac:dyDescent="0.2">
      <c r="B21">
        <v>-5.2244973291040782E-2</v>
      </c>
      <c r="C21">
        <v>-0.27481620669277534</v>
      </c>
      <c r="D21">
        <v>0.26573643786419399</v>
      </c>
    </row>
    <row r="22" spans="2:4" x14ac:dyDescent="0.2">
      <c r="B22">
        <v>-0.47796062168839509</v>
      </c>
      <c r="C22">
        <v>-0.66030979399704526</v>
      </c>
      <c r="D22">
        <v>-0.22849887652085835</v>
      </c>
    </row>
    <row r="23" spans="2:4" x14ac:dyDescent="0.2">
      <c r="B23">
        <v>0.13733508614067438</v>
      </c>
      <c r="C23">
        <v>-0.12974571067644688</v>
      </c>
      <c r="D23">
        <v>-2.9528332502381915E-2</v>
      </c>
    </row>
    <row r="24" spans="2:4" x14ac:dyDescent="0.2">
      <c r="B24">
        <v>0.52770985460063691</v>
      </c>
      <c r="C24">
        <v>0.38295135455063684</v>
      </c>
      <c r="D24">
        <v>-0.1773727670730674</v>
      </c>
    </row>
    <row r="25" spans="2:4" x14ac:dyDescent="0.2">
      <c r="B25">
        <v>-0.47785055792123809</v>
      </c>
      <c r="C25">
        <v>0.28159020755956998</v>
      </c>
      <c r="D25">
        <v>-2.5183587550728224E-2</v>
      </c>
    </row>
    <row r="26" spans="2:4" x14ac:dyDescent="0.2">
      <c r="B26">
        <v>0</v>
      </c>
      <c r="C26">
        <v>0</v>
      </c>
      <c r="D2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D9EA-4FAD-574F-92C3-E21C5190DFB9}">
  <sheetPr codeName="XLSTAT_20201111_105027_1">
    <tabColor rgb="FF007800"/>
  </sheetPr>
  <dimension ref="B1:J200"/>
  <sheetViews>
    <sheetView zoomScaleNormal="100" workbookViewId="0">
      <selection activeCell="K36" sqref="K36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559</v>
      </c>
    </row>
    <row r="2" spans="2:3" x14ac:dyDescent="0.2">
      <c r="B2" t="s">
        <v>541</v>
      </c>
    </row>
    <row r="3" spans="2:3" x14ac:dyDescent="0.2">
      <c r="B3" t="s">
        <v>542</v>
      </c>
    </row>
    <row r="4" spans="2:3" x14ac:dyDescent="0.2">
      <c r="B4" t="s">
        <v>543</v>
      </c>
    </row>
    <row r="5" spans="2:3" x14ac:dyDescent="0.2">
      <c r="B5" t="s">
        <v>438</v>
      </c>
    </row>
    <row r="6" spans="2:3" x14ac:dyDescent="0.2">
      <c r="B6" t="s">
        <v>439</v>
      </c>
    </row>
    <row r="7" spans="2:3" x14ac:dyDescent="0.2">
      <c r="B7" t="s">
        <v>440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5" t="s">
        <v>443</v>
      </c>
      <c r="C15" s="6" t="s">
        <v>444</v>
      </c>
    </row>
    <row r="16" spans="2:3" x14ac:dyDescent="0.2">
      <c r="B16" s="7" t="s">
        <v>23</v>
      </c>
      <c r="C16" s="9">
        <v>4.4805442195777756E-3</v>
      </c>
    </row>
    <row r="17" spans="2:6" x14ac:dyDescent="0.2">
      <c r="B17" s="4" t="s">
        <v>24</v>
      </c>
      <c r="C17" s="10">
        <v>8.9153052597634619E-2</v>
      </c>
    </row>
    <row r="18" spans="2:6" x14ac:dyDescent="0.2">
      <c r="B18" s="4" t="s">
        <v>25</v>
      </c>
      <c r="C18" s="10">
        <v>0.23441416244371638</v>
      </c>
    </row>
    <row r="19" spans="2:6" ht="17" thickBot="1" x14ac:dyDescent="0.25">
      <c r="B19" s="8" t="s">
        <v>26</v>
      </c>
      <c r="C19" s="11">
        <v>0.74396233640413001</v>
      </c>
    </row>
    <row r="22" spans="2:6" x14ac:dyDescent="0.2">
      <c r="B22" s="3" t="s">
        <v>445</v>
      </c>
    </row>
    <row r="23" spans="2:6" ht="17" thickBot="1" x14ac:dyDescent="0.25"/>
    <row r="24" spans="2:6" ht="17" x14ac:dyDescent="0.2">
      <c r="B24" s="5" t="s">
        <v>443</v>
      </c>
      <c r="C24" s="6" t="s">
        <v>463</v>
      </c>
      <c r="D24" s="6" t="s">
        <v>464</v>
      </c>
      <c r="E24" s="6" t="s">
        <v>465</v>
      </c>
      <c r="F24" s="6" t="s">
        <v>139</v>
      </c>
    </row>
    <row r="25" spans="2:6" x14ac:dyDescent="0.2">
      <c r="B25" s="39" t="s">
        <v>23</v>
      </c>
      <c r="C25" s="40" t="s">
        <v>544</v>
      </c>
      <c r="D25" s="40" t="s">
        <v>452</v>
      </c>
      <c r="E25" s="40" t="s">
        <v>545</v>
      </c>
      <c r="F25" s="40" t="s">
        <v>545</v>
      </c>
    </row>
    <row r="26" spans="2:6" x14ac:dyDescent="0.2">
      <c r="B26" s="4" t="s">
        <v>24</v>
      </c>
      <c r="C26" s="13" t="s">
        <v>546</v>
      </c>
      <c r="D26" s="13" t="s">
        <v>547</v>
      </c>
      <c r="E26" s="13" t="s">
        <v>548</v>
      </c>
      <c r="F26" s="13" t="s">
        <v>546</v>
      </c>
    </row>
    <row r="27" spans="2:6" x14ac:dyDescent="0.2">
      <c r="B27" s="4" t="s">
        <v>25</v>
      </c>
      <c r="C27" s="13" t="s">
        <v>449</v>
      </c>
      <c r="D27" s="13" t="s">
        <v>446</v>
      </c>
      <c r="E27" s="13" t="s">
        <v>447</v>
      </c>
      <c r="F27" s="13" t="s">
        <v>446</v>
      </c>
    </row>
    <row r="28" spans="2:6" ht="17" thickBot="1" x14ac:dyDescent="0.25">
      <c r="B28" s="8" t="s">
        <v>26</v>
      </c>
      <c r="C28" s="14" t="s">
        <v>549</v>
      </c>
      <c r="D28" s="14" t="s">
        <v>549</v>
      </c>
      <c r="E28" s="14" t="s">
        <v>550</v>
      </c>
      <c r="F28" s="14" t="s">
        <v>456</v>
      </c>
    </row>
    <row r="31" spans="2:6" x14ac:dyDescent="0.2">
      <c r="B31" s="3" t="s">
        <v>551</v>
      </c>
    </row>
    <row r="32" spans="2:6" ht="17" thickBot="1" x14ac:dyDescent="0.25"/>
    <row r="33" spans="2:6" x14ac:dyDescent="0.2">
      <c r="B33" s="16"/>
      <c r="C33" s="17" t="s">
        <v>463</v>
      </c>
      <c r="D33" s="17" t="s">
        <v>464</v>
      </c>
      <c r="E33" s="17" t="s">
        <v>465</v>
      </c>
      <c r="F33" s="17" t="s">
        <v>139</v>
      </c>
    </row>
    <row r="34" spans="2:6" x14ac:dyDescent="0.2">
      <c r="B34" s="18">
        <v>117.17</v>
      </c>
      <c r="C34" s="23">
        <v>0</v>
      </c>
      <c r="D34" s="31">
        <v>0.10869565217391304</v>
      </c>
      <c r="E34" s="20">
        <v>7.2463768115942032E-2</v>
      </c>
      <c r="F34" s="20">
        <v>7.2463768115942032E-2</v>
      </c>
    </row>
    <row r="35" spans="2:6" x14ac:dyDescent="0.2">
      <c r="B35" s="15">
        <v>120.14</v>
      </c>
      <c r="C35" s="33">
        <v>-0.10869565217391304</v>
      </c>
      <c r="D35" s="24">
        <v>0</v>
      </c>
      <c r="E35" s="21">
        <v>-3.6231884057971009E-2</v>
      </c>
      <c r="F35" s="21">
        <v>-3.6231884057971009E-2</v>
      </c>
    </row>
    <row r="36" spans="2:6" x14ac:dyDescent="0.2">
      <c r="B36" s="15">
        <v>120.17</v>
      </c>
      <c r="C36" s="21">
        <v>-7.2463768115942032E-2</v>
      </c>
      <c r="D36" s="21">
        <v>3.6231884057971009E-2</v>
      </c>
      <c r="E36" s="24">
        <v>0</v>
      </c>
      <c r="F36" s="21">
        <v>0</v>
      </c>
    </row>
    <row r="37" spans="2:6" ht="17" thickBot="1" x14ac:dyDescent="0.25">
      <c r="B37" s="19" t="s">
        <v>139</v>
      </c>
      <c r="C37" s="22">
        <v>-7.2463768115942032E-2</v>
      </c>
      <c r="D37" s="22">
        <v>3.6231884057971009E-2</v>
      </c>
      <c r="E37" s="22">
        <v>0</v>
      </c>
      <c r="F37" s="25">
        <v>0</v>
      </c>
    </row>
    <row r="38" spans="2:6" x14ac:dyDescent="0.2">
      <c r="B38" s="3" t="s">
        <v>552</v>
      </c>
    </row>
    <row r="41" spans="2:6" x14ac:dyDescent="0.2">
      <c r="B41" s="3" t="s">
        <v>553</v>
      </c>
    </row>
    <row r="42" spans="2:6" ht="17" thickBot="1" x14ac:dyDescent="0.25"/>
    <row r="43" spans="2:6" x14ac:dyDescent="0.2">
      <c r="B43" s="16"/>
      <c r="C43" s="17" t="s">
        <v>463</v>
      </c>
      <c r="D43" s="17" t="s">
        <v>464</v>
      </c>
      <c r="E43" s="17" t="s">
        <v>465</v>
      </c>
      <c r="F43" s="17" t="s">
        <v>139</v>
      </c>
    </row>
    <row r="44" spans="2:6" x14ac:dyDescent="0.2">
      <c r="B44" s="18">
        <v>117.17</v>
      </c>
      <c r="C44" s="23">
        <v>0</v>
      </c>
      <c r="D44" s="20">
        <v>-1.4492753623188415E-2</v>
      </c>
      <c r="E44" s="20">
        <v>7.9710144927536225E-2</v>
      </c>
      <c r="F44" s="20">
        <v>0</v>
      </c>
    </row>
    <row r="45" spans="2:6" x14ac:dyDescent="0.2">
      <c r="B45" s="15">
        <v>120.14</v>
      </c>
      <c r="C45" s="21">
        <v>1.4492753623188415E-2</v>
      </c>
      <c r="D45" s="24">
        <v>0</v>
      </c>
      <c r="E45" s="21">
        <v>9.420289855072464E-2</v>
      </c>
      <c r="F45" s="21">
        <v>1.4492753623188415E-2</v>
      </c>
    </row>
    <row r="46" spans="2:6" x14ac:dyDescent="0.2">
      <c r="B46" s="15">
        <v>120.17</v>
      </c>
      <c r="C46" s="21">
        <v>-7.9710144927536225E-2</v>
      </c>
      <c r="D46" s="21">
        <v>-9.420289855072464E-2</v>
      </c>
      <c r="E46" s="24">
        <v>0</v>
      </c>
      <c r="F46" s="21">
        <v>-7.9710144927536225E-2</v>
      </c>
    </row>
    <row r="47" spans="2:6" ht="17" thickBot="1" x14ac:dyDescent="0.25">
      <c r="B47" s="19" t="s">
        <v>139</v>
      </c>
      <c r="C47" s="22">
        <v>0</v>
      </c>
      <c r="D47" s="22">
        <v>-1.4492753623188415E-2</v>
      </c>
      <c r="E47" s="22">
        <v>7.9710144927536225E-2</v>
      </c>
      <c r="F47" s="25">
        <v>0</v>
      </c>
    </row>
    <row r="48" spans="2:6" x14ac:dyDescent="0.2">
      <c r="B48" s="3" t="s">
        <v>554</v>
      </c>
    </row>
    <row r="51" spans="2:6" x14ac:dyDescent="0.2">
      <c r="B51" s="3" t="s">
        <v>555</v>
      </c>
    </row>
    <row r="52" spans="2:6" ht="17" thickBot="1" x14ac:dyDescent="0.25"/>
    <row r="53" spans="2:6" x14ac:dyDescent="0.2">
      <c r="B53" s="16"/>
      <c r="C53" s="17" t="s">
        <v>463</v>
      </c>
      <c r="D53" s="17" t="s">
        <v>464</v>
      </c>
      <c r="E53" s="17" t="s">
        <v>465</v>
      </c>
      <c r="F53" s="17" t="s">
        <v>139</v>
      </c>
    </row>
    <row r="54" spans="2:6" x14ac:dyDescent="0.2">
      <c r="B54" s="18">
        <v>117.17</v>
      </c>
      <c r="C54" s="23">
        <v>0</v>
      </c>
      <c r="D54" s="20">
        <v>-2.1739130434782608E-2</v>
      </c>
      <c r="E54" s="20">
        <v>-7.246376811594203E-3</v>
      </c>
      <c r="F54" s="20">
        <v>-2.1739130434782608E-2</v>
      </c>
    </row>
    <row r="55" spans="2:6" x14ac:dyDescent="0.2">
      <c r="B55" s="15">
        <v>120.14</v>
      </c>
      <c r="C55" s="21">
        <v>2.1739130434782608E-2</v>
      </c>
      <c r="D55" s="24">
        <v>0</v>
      </c>
      <c r="E55" s="21">
        <v>1.4492753623188404E-2</v>
      </c>
      <c r="F55" s="21">
        <v>0</v>
      </c>
    </row>
    <row r="56" spans="2:6" x14ac:dyDescent="0.2">
      <c r="B56" s="15">
        <v>120.17</v>
      </c>
      <c r="C56" s="21">
        <v>7.246376811594203E-3</v>
      </c>
      <c r="D56" s="21">
        <v>-1.4492753623188404E-2</v>
      </c>
      <c r="E56" s="24">
        <v>0</v>
      </c>
      <c r="F56" s="21">
        <v>-1.4492753623188404E-2</v>
      </c>
    </row>
    <row r="57" spans="2:6" ht="17" thickBot="1" x14ac:dyDescent="0.25">
      <c r="B57" s="19" t="s">
        <v>139</v>
      </c>
      <c r="C57" s="22">
        <v>2.1739130434782608E-2</v>
      </c>
      <c r="D57" s="22">
        <v>0</v>
      </c>
      <c r="E57" s="22">
        <v>1.4492753623188404E-2</v>
      </c>
      <c r="F57" s="25">
        <v>0</v>
      </c>
    </row>
    <row r="58" spans="2:6" x14ac:dyDescent="0.2">
      <c r="B58" s="3" t="s">
        <v>556</v>
      </c>
    </row>
    <row r="61" spans="2:6" x14ac:dyDescent="0.2">
      <c r="B61" s="3" t="s">
        <v>557</v>
      </c>
    </row>
    <row r="62" spans="2:6" ht="17" thickBot="1" x14ac:dyDescent="0.25"/>
    <row r="63" spans="2:6" x14ac:dyDescent="0.2">
      <c r="B63" s="16"/>
      <c r="C63" s="17" t="s">
        <v>463</v>
      </c>
      <c r="D63" s="17" t="s">
        <v>464</v>
      </c>
      <c r="E63" s="17" t="s">
        <v>465</v>
      </c>
      <c r="F63" s="17" t="s">
        <v>139</v>
      </c>
    </row>
    <row r="64" spans="2:6" x14ac:dyDescent="0.2">
      <c r="B64" s="18">
        <v>117.17</v>
      </c>
      <c r="C64" s="23">
        <v>0</v>
      </c>
      <c r="D64" s="20">
        <v>0</v>
      </c>
      <c r="E64" s="20">
        <v>-7.2463768115942073E-3</v>
      </c>
      <c r="F64" s="20">
        <v>2.8985507246376815E-2</v>
      </c>
    </row>
    <row r="65" spans="2:6" x14ac:dyDescent="0.2">
      <c r="B65" s="15">
        <v>120.14</v>
      </c>
      <c r="C65" s="21">
        <v>0</v>
      </c>
      <c r="D65" s="24">
        <v>0</v>
      </c>
      <c r="E65" s="21">
        <v>-7.2463768115942073E-3</v>
      </c>
      <c r="F65" s="21">
        <v>2.8985507246376815E-2</v>
      </c>
    </row>
    <row r="66" spans="2:6" x14ac:dyDescent="0.2">
      <c r="B66" s="15">
        <v>120.17</v>
      </c>
      <c r="C66" s="21">
        <v>7.2463768115942073E-3</v>
      </c>
      <c r="D66" s="21">
        <v>7.2463768115942073E-3</v>
      </c>
      <c r="E66" s="24">
        <v>0</v>
      </c>
      <c r="F66" s="21">
        <v>3.6231884057971023E-2</v>
      </c>
    </row>
    <row r="67" spans="2:6" ht="17" thickBot="1" x14ac:dyDescent="0.25">
      <c r="B67" s="19" t="s">
        <v>139</v>
      </c>
      <c r="C67" s="22">
        <v>-2.8985507246376815E-2</v>
      </c>
      <c r="D67" s="22">
        <v>-2.8985507246376815E-2</v>
      </c>
      <c r="E67" s="22">
        <v>-3.6231884057971023E-2</v>
      </c>
      <c r="F67" s="25">
        <v>0</v>
      </c>
    </row>
    <row r="68" spans="2:6" x14ac:dyDescent="0.2">
      <c r="B68" s="3" t="s">
        <v>558</v>
      </c>
    </row>
    <row r="71" spans="2:6" x14ac:dyDescent="0.2">
      <c r="B71" s="3" t="s">
        <v>501</v>
      </c>
    </row>
    <row r="72" spans="2:6" ht="17" thickBot="1" x14ac:dyDescent="0.25"/>
    <row r="73" spans="2:6" ht="34" x14ac:dyDescent="0.2">
      <c r="B73" s="5" t="s">
        <v>502</v>
      </c>
      <c r="C73" s="6" t="s">
        <v>23</v>
      </c>
      <c r="D73" s="6" t="s">
        <v>24</v>
      </c>
      <c r="E73" s="6" t="s">
        <v>25</v>
      </c>
      <c r="F73" s="6" t="s">
        <v>26</v>
      </c>
    </row>
    <row r="74" spans="2:6" x14ac:dyDescent="0.2">
      <c r="B74" s="7" t="s">
        <v>463</v>
      </c>
      <c r="C74" s="23">
        <v>19</v>
      </c>
      <c r="D74" s="23">
        <v>25</v>
      </c>
      <c r="E74" s="23">
        <v>0</v>
      </c>
      <c r="F74" s="23">
        <v>16</v>
      </c>
    </row>
    <row r="75" spans="2:6" x14ac:dyDescent="0.2">
      <c r="B75" s="4" t="s">
        <v>464</v>
      </c>
      <c r="C75" s="24">
        <v>4</v>
      </c>
      <c r="D75" s="24">
        <v>27</v>
      </c>
      <c r="E75" s="24">
        <v>3</v>
      </c>
      <c r="F75" s="24">
        <v>16</v>
      </c>
    </row>
    <row r="76" spans="2:6" x14ac:dyDescent="0.2">
      <c r="B76" s="4" t="s">
        <v>465</v>
      </c>
      <c r="C76" s="24">
        <v>9</v>
      </c>
      <c r="D76" s="24">
        <v>14</v>
      </c>
      <c r="E76" s="24">
        <v>1</v>
      </c>
      <c r="F76" s="24">
        <v>17</v>
      </c>
    </row>
    <row r="77" spans="2:6" ht="17" thickBot="1" x14ac:dyDescent="0.25">
      <c r="B77" s="8" t="s">
        <v>139</v>
      </c>
      <c r="C77" s="25">
        <v>9</v>
      </c>
      <c r="D77" s="25">
        <v>25</v>
      </c>
      <c r="E77" s="25">
        <v>3</v>
      </c>
      <c r="F77" s="25">
        <v>12</v>
      </c>
    </row>
    <row r="80" spans="2:6" x14ac:dyDescent="0.2">
      <c r="B80" s="3" t="s">
        <v>503</v>
      </c>
    </row>
    <row r="81" spans="2:10" ht="17" thickBot="1" x14ac:dyDescent="0.25"/>
    <row r="82" spans="2:10" x14ac:dyDescent="0.2">
      <c r="B82" s="26" t="s">
        <v>504</v>
      </c>
      <c r="C82" s="27">
        <v>16.698466186651405</v>
      </c>
    </row>
    <row r="83" spans="2:10" x14ac:dyDescent="0.2">
      <c r="B83" s="15" t="s">
        <v>505</v>
      </c>
      <c r="C83" s="13">
        <v>16.918977604623457</v>
      </c>
    </row>
    <row r="84" spans="2:10" x14ac:dyDescent="0.2">
      <c r="B84" s="15" t="s">
        <v>506</v>
      </c>
      <c r="C84" s="28">
        <v>9</v>
      </c>
    </row>
    <row r="85" spans="2:10" x14ac:dyDescent="0.2">
      <c r="B85" s="15" t="s">
        <v>507</v>
      </c>
      <c r="C85" s="13">
        <v>5.3652747813137447E-2</v>
      </c>
    </row>
    <row r="86" spans="2:10" ht="17" thickBot="1" x14ac:dyDescent="0.25">
      <c r="B86" s="19" t="s">
        <v>508</v>
      </c>
      <c r="C86" s="29">
        <v>0.05</v>
      </c>
    </row>
    <row r="88" spans="2:10" x14ac:dyDescent="0.2">
      <c r="B88" s="3" t="s">
        <v>509</v>
      </c>
    </row>
    <row r="89" spans="2:10" x14ac:dyDescent="0.2">
      <c r="B89" s="3" t="s">
        <v>510</v>
      </c>
    </row>
    <row r="90" spans="2:10" x14ac:dyDescent="0.2">
      <c r="B90" s="3" t="s">
        <v>511</v>
      </c>
    </row>
    <row r="91" spans="2:10" ht="16" customHeight="1" x14ac:dyDescent="0.2">
      <c r="B91" s="46" t="s">
        <v>512</v>
      </c>
      <c r="C91" s="46"/>
      <c r="D91" s="46"/>
      <c r="E91" s="46"/>
      <c r="F91" s="46"/>
      <c r="G91" s="46"/>
      <c r="H91" s="46"/>
      <c r="I91" s="46"/>
      <c r="J91" s="46"/>
    </row>
    <row r="92" spans="2:10" x14ac:dyDescent="0.2">
      <c r="B92" s="46"/>
      <c r="C92" s="46"/>
      <c r="D92" s="46"/>
      <c r="E92" s="46"/>
      <c r="F92" s="46"/>
      <c r="G92" s="46"/>
      <c r="H92" s="46"/>
      <c r="I92" s="46"/>
      <c r="J92" s="46"/>
    </row>
    <row r="95" spans="2:10" x14ac:dyDescent="0.2">
      <c r="B95" s="3" t="s">
        <v>513</v>
      </c>
    </row>
    <row r="96" spans="2:10" ht="17" thickBot="1" x14ac:dyDescent="0.25"/>
    <row r="97" spans="2:5" ht="17" x14ac:dyDescent="0.2">
      <c r="B97" s="5"/>
      <c r="C97" s="6" t="s">
        <v>514</v>
      </c>
      <c r="D97" s="6" t="s">
        <v>515</v>
      </c>
      <c r="E97" s="6" t="s">
        <v>516</v>
      </c>
    </row>
    <row r="98" spans="2:5" x14ac:dyDescent="0.2">
      <c r="B98" s="7" t="s">
        <v>517</v>
      </c>
      <c r="C98" s="20">
        <v>6.3105848961813468E-2</v>
      </c>
      <c r="D98" s="20">
        <v>1.8181159341113737E-2</v>
      </c>
      <c r="E98" s="20">
        <v>2.2053226303298209E-3</v>
      </c>
    </row>
    <row r="99" spans="2:5" x14ac:dyDescent="0.2">
      <c r="B99" s="4" t="s">
        <v>518</v>
      </c>
      <c r="C99" s="21">
        <v>75.582808931588801</v>
      </c>
      <c r="D99" s="21">
        <v>21.775843527051101</v>
      </c>
      <c r="E99" s="21">
        <v>2.6413475413600978</v>
      </c>
    </row>
    <row r="100" spans="2:5" ht="17" thickBot="1" x14ac:dyDescent="0.25">
      <c r="B100" s="8" t="s">
        <v>519</v>
      </c>
      <c r="C100" s="22">
        <v>75.582808931588801</v>
      </c>
      <c r="D100" s="22">
        <v>97.358652458639909</v>
      </c>
      <c r="E100" s="22">
        <v>100</v>
      </c>
    </row>
    <row r="118" spans="6:6" x14ac:dyDescent="0.2">
      <c r="F118" t="s">
        <v>520</v>
      </c>
    </row>
    <row r="136" spans="2:7" x14ac:dyDescent="0.2">
      <c r="F136" t="s">
        <v>520</v>
      </c>
    </row>
    <row r="139" spans="2:7" x14ac:dyDescent="0.2">
      <c r="B139" s="1" t="s">
        <v>521</v>
      </c>
    </row>
    <row r="141" spans="2:7" x14ac:dyDescent="0.2">
      <c r="B141" s="3" t="s">
        <v>522</v>
      </c>
    </row>
    <row r="142" spans="2:7" ht="17" thickBot="1" x14ac:dyDescent="0.25"/>
    <row r="143" spans="2:7" ht="34" x14ac:dyDescent="0.2">
      <c r="B143" s="5"/>
      <c r="C143" s="6" t="s">
        <v>23</v>
      </c>
      <c r="D143" s="6" t="s">
        <v>24</v>
      </c>
      <c r="E143" s="6" t="s">
        <v>25</v>
      </c>
      <c r="F143" s="6" t="s">
        <v>26</v>
      </c>
      <c r="G143" s="30"/>
    </row>
    <row r="144" spans="2:7" x14ac:dyDescent="0.2">
      <c r="B144" s="7" t="s">
        <v>23</v>
      </c>
      <c r="C144" s="32">
        <v>1</v>
      </c>
      <c r="D144" s="20">
        <v>-9.8226999999999995E-2</v>
      </c>
      <c r="E144" s="20">
        <v>-0.72114800000000001</v>
      </c>
      <c r="F144" s="20">
        <v>9.2725000000000002E-2</v>
      </c>
      <c r="G144" s="30"/>
    </row>
    <row r="145" spans="2:7" x14ac:dyDescent="0.2">
      <c r="B145" s="4" t="s">
        <v>24</v>
      </c>
      <c r="C145" s="21">
        <v>-9.8226999999999995E-2</v>
      </c>
      <c r="D145" s="34">
        <v>1</v>
      </c>
      <c r="E145" s="21">
        <v>-3.5709999999999999E-2</v>
      </c>
      <c r="F145" s="21">
        <v>-4.1929000000000001E-2</v>
      </c>
      <c r="G145" s="30"/>
    </row>
    <row r="146" spans="2:7" x14ac:dyDescent="0.2">
      <c r="B146" s="4" t="s">
        <v>25</v>
      </c>
      <c r="C146" s="21">
        <v>-0.72114800000000001</v>
      </c>
      <c r="D146" s="21">
        <v>-3.5709999999999999E-2</v>
      </c>
      <c r="E146" s="34">
        <v>1</v>
      </c>
      <c r="F146" s="21">
        <v>6.1176000000000001E-2</v>
      </c>
      <c r="G146" s="30"/>
    </row>
    <row r="147" spans="2:7" ht="17" thickBot="1" x14ac:dyDescent="0.25">
      <c r="B147" s="8" t="s">
        <v>26</v>
      </c>
      <c r="C147" s="22">
        <v>9.2725000000000002E-2</v>
      </c>
      <c r="D147" s="22">
        <v>-4.1929000000000001E-2</v>
      </c>
      <c r="E147" s="22">
        <v>6.1176000000000001E-2</v>
      </c>
      <c r="F147" s="35">
        <v>1</v>
      </c>
      <c r="G147" s="30"/>
    </row>
    <row r="150" spans="2:7" x14ac:dyDescent="0.2">
      <c r="B150" s="3" t="s">
        <v>523</v>
      </c>
    </row>
    <row r="151" spans="2:7" ht="17" thickBot="1" x14ac:dyDescent="0.25"/>
    <row r="152" spans="2:7" ht="17" x14ac:dyDescent="0.2">
      <c r="B152" s="5"/>
      <c r="C152" s="6" t="s">
        <v>514</v>
      </c>
      <c r="D152" s="6" t="s">
        <v>515</v>
      </c>
    </row>
    <row r="153" spans="2:7" x14ac:dyDescent="0.2">
      <c r="B153" s="7" t="s">
        <v>517</v>
      </c>
      <c r="C153" s="20">
        <v>1.5178817174098047</v>
      </c>
      <c r="D153" s="20">
        <v>0.59205884325469038</v>
      </c>
    </row>
    <row r="154" spans="2:7" x14ac:dyDescent="0.2">
      <c r="B154" s="4" t="s">
        <v>538</v>
      </c>
      <c r="C154" s="21">
        <v>71.939548710877887</v>
      </c>
      <c r="D154" s="21">
        <v>28.060451289122099</v>
      </c>
    </row>
    <row r="155" spans="2:7" ht="17" thickBot="1" x14ac:dyDescent="0.25">
      <c r="B155" s="8" t="s">
        <v>519</v>
      </c>
      <c r="C155" s="22">
        <v>71.939548710877887</v>
      </c>
      <c r="D155" s="22">
        <v>99.999999999999986</v>
      </c>
    </row>
    <row r="173" spans="2:6" x14ac:dyDescent="0.2">
      <c r="F173" t="s">
        <v>520</v>
      </c>
    </row>
    <row r="176" spans="2:6" x14ac:dyDescent="0.2">
      <c r="B176" s="3" t="s">
        <v>539</v>
      </c>
    </row>
    <row r="177" spans="2:4" ht="17" thickBot="1" x14ac:dyDescent="0.25"/>
    <row r="178" spans="2:4" ht="17" x14ac:dyDescent="0.2">
      <c r="B178" s="5"/>
      <c r="C178" s="6" t="s">
        <v>514</v>
      </c>
      <c r="D178" s="6" t="s">
        <v>515</v>
      </c>
    </row>
    <row r="179" spans="2:4" x14ac:dyDescent="0.2">
      <c r="B179" s="7" t="s">
        <v>23</v>
      </c>
      <c r="C179" s="20">
        <v>0.87754282153053131</v>
      </c>
      <c r="D179" s="20">
        <v>-3.7297874121497807E-2</v>
      </c>
    </row>
    <row r="180" spans="2:4" x14ac:dyDescent="0.2">
      <c r="B180" s="4" t="s">
        <v>24</v>
      </c>
      <c r="C180" s="21">
        <v>-5.3078907048602741E-2</v>
      </c>
      <c r="D180" s="21">
        <v>0.60154666075315766</v>
      </c>
    </row>
    <row r="181" spans="2:4" x14ac:dyDescent="0.2">
      <c r="B181" s="4" t="s">
        <v>25</v>
      </c>
      <c r="C181" s="21">
        <v>-0.86229449193760688</v>
      </c>
      <c r="D181" s="21">
        <v>-9.5548697993819973E-2</v>
      </c>
    </row>
    <row r="182" spans="2:4" ht="17" thickBot="1" x14ac:dyDescent="0.25">
      <c r="B182" s="8" t="s">
        <v>26</v>
      </c>
      <c r="C182" s="22">
        <v>3.7830577455677632E-2</v>
      </c>
      <c r="D182" s="22">
        <v>-0.46870008863783963</v>
      </c>
    </row>
    <row r="200" spans="6:6" x14ac:dyDescent="0.2">
      <c r="F200" t="s">
        <v>520</v>
      </c>
    </row>
  </sheetData>
  <mergeCells count="1">
    <mergeCell ref="B91:J92"/>
  </mergeCells>
  <conditionalFormatting sqref="C16:C19">
    <cfRule type="cellIs" dxfId="2" priority="1" operator="lessThan">
      <formula>0.05</formula>
    </cfRule>
  </conditionalFormatting>
  <pageMargins left="0.7" right="0.7" top="0.75" bottom="0.75" header="0.3" footer="0.3"/>
  <ignoredErrors>
    <ignoredError sqref="B74:B78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D582742">
              <controlPr defaultSize="0" autoFill="0" autoPict="0" macro="[0]!GoToResultsNew2020111110503469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A4660-9B82-104E-817A-15DB9CA144CD}">
  <sheetPr codeName="Sheet4"/>
  <dimension ref="A1:X553"/>
  <sheetViews>
    <sheetView workbookViewId="0"/>
  </sheetViews>
  <sheetFormatPr baseColWidth="10" defaultRowHeight="16" x14ac:dyDescent="0.2"/>
  <sheetData>
    <row r="1" spans="1:24" x14ac:dyDescent="0.2">
      <c r="A1" t="s">
        <v>0</v>
      </c>
      <c r="B1" t="s">
        <v>1</v>
      </c>
      <c r="C1" t="s">
        <v>2</v>
      </c>
      <c r="D1" s="1" t="s">
        <v>22</v>
      </c>
      <c r="E1" s="1" t="s">
        <v>27</v>
      </c>
      <c r="F1" s="1" t="s">
        <v>29</v>
      </c>
      <c r="G1" s="1" t="s">
        <v>32</v>
      </c>
      <c r="H1" s="1" t="s">
        <v>40</v>
      </c>
      <c r="I1" s="1" t="s">
        <v>44</v>
      </c>
      <c r="J1" s="1" t="s">
        <v>51</v>
      </c>
      <c r="K1" s="1" t="s">
        <v>58</v>
      </c>
      <c r="L1" s="1" t="s">
        <v>84</v>
      </c>
      <c r="M1" s="1" t="s">
        <v>88</v>
      </c>
      <c r="N1" s="1" t="s">
        <v>93</v>
      </c>
      <c r="O1" s="1" t="s">
        <v>98</v>
      </c>
      <c r="P1" s="1" t="s">
        <v>99</v>
      </c>
      <c r="Q1" s="1" t="s">
        <v>103</v>
      </c>
      <c r="R1" s="1" t="s">
        <v>105</v>
      </c>
      <c r="S1" s="1" t="s">
        <v>108</v>
      </c>
      <c r="T1" s="1" t="s">
        <v>112</v>
      </c>
      <c r="U1" s="1" t="s">
        <v>115</v>
      </c>
      <c r="V1" s="1" t="s">
        <v>122</v>
      </c>
      <c r="W1" s="1" t="s">
        <v>129</v>
      </c>
      <c r="X1" s="1" t="s">
        <v>134</v>
      </c>
    </row>
    <row r="2" spans="1:24" x14ac:dyDescent="0.2">
      <c r="A2">
        <v>1</v>
      </c>
      <c r="B2" t="s">
        <v>139</v>
      </c>
      <c r="C2" t="s">
        <v>140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2">
      <c r="A3">
        <v>1</v>
      </c>
      <c r="B3">
        <v>117.17</v>
      </c>
      <c r="C3" t="s">
        <v>141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1</v>
      </c>
    </row>
    <row r="4" spans="1:24" x14ac:dyDescent="0.2">
      <c r="A4">
        <v>1</v>
      </c>
      <c r="B4">
        <v>120.14</v>
      </c>
      <c r="C4" t="s">
        <v>142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2">
      <c r="A5">
        <v>1</v>
      </c>
      <c r="B5">
        <v>120.17</v>
      </c>
      <c r="C5" t="s">
        <v>143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">
      <c r="A6">
        <v>3</v>
      </c>
      <c r="B6">
        <v>120.17</v>
      </c>
      <c r="C6" t="s">
        <v>144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2">
      <c r="A7">
        <v>3</v>
      </c>
      <c r="B7">
        <v>120.14</v>
      </c>
      <c r="C7" t="s">
        <v>145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2">
      <c r="A8">
        <v>3</v>
      </c>
      <c r="B8">
        <v>117.17</v>
      </c>
      <c r="C8" t="s">
        <v>146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2">
      <c r="A9">
        <v>3</v>
      </c>
      <c r="B9" t="s">
        <v>139</v>
      </c>
      <c r="C9" t="s">
        <v>147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2">
      <c r="A10">
        <v>4</v>
      </c>
      <c r="B10">
        <v>117.17</v>
      </c>
      <c r="C10" t="s">
        <v>148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2">
      <c r="A11">
        <v>4</v>
      </c>
      <c r="B11">
        <v>120.17</v>
      </c>
      <c r="C11" t="s">
        <v>149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2">
      <c r="A12">
        <v>4</v>
      </c>
      <c r="B12" t="s">
        <v>139</v>
      </c>
      <c r="C12" t="s">
        <v>150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2">
      <c r="A13">
        <v>4</v>
      </c>
      <c r="B13">
        <v>120.14</v>
      </c>
      <c r="C13" t="s">
        <v>151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2">
      <c r="A14">
        <v>5</v>
      </c>
      <c r="B14" t="s">
        <v>139</v>
      </c>
      <c r="C14" t="s">
        <v>152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2">
      <c r="A15">
        <v>5</v>
      </c>
      <c r="B15">
        <v>117.17</v>
      </c>
      <c r="C15" t="s">
        <v>153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</row>
    <row r="16" spans="1:24" x14ac:dyDescent="0.2">
      <c r="A16">
        <v>5</v>
      </c>
      <c r="B16">
        <v>120.14</v>
      </c>
      <c r="C16" t="s">
        <v>154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0</v>
      </c>
      <c r="W16">
        <v>0</v>
      </c>
      <c r="X16">
        <v>0</v>
      </c>
    </row>
    <row r="17" spans="1:24" x14ac:dyDescent="0.2">
      <c r="A17">
        <v>5</v>
      </c>
      <c r="B17">
        <v>120.17</v>
      </c>
      <c r="C17" t="s">
        <v>155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">
      <c r="A18">
        <v>6</v>
      </c>
      <c r="B18">
        <v>120.14</v>
      </c>
      <c r="C18" t="s">
        <v>156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">
      <c r="A19">
        <v>6</v>
      </c>
      <c r="B19" t="s">
        <v>139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">
      <c r="A20">
        <v>6</v>
      </c>
      <c r="B20">
        <v>120.17</v>
      </c>
      <c r="C20" t="s">
        <v>157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0</v>
      </c>
      <c r="W20">
        <v>1</v>
      </c>
      <c r="X20">
        <v>0</v>
      </c>
    </row>
    <row r="21" spans="1:24" x14ac:dyDescent="0.2">
      <c r="A21">
        <v>6</v>
      </c>
      <c r="B21">
        <v>117.17</v>
      </c>
      <c r="C21" t="s">
        <v>158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">
      <c r="A22">
        <v>7</v>
      </c>
      <c r="B22">
        <v>120.17</v>
      </c>
      <c r="C22" t="s">
        <v>159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</row>
    <row r="23" spans="1:24" x14ac:dyDescent="0.2">
      <c r="A23">
        <v>7</v>
      </c>
      <c r="B23">
        <v>120.14</v>
      </c>
      <c r="C23" t="s">
        <v>160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</row>
    <row r="24" spans="1:24" x14ac:dyDescent="0.2">
      <c r="A24">
        <v>7</v>
      </c>
      <c r="B24">
        <v>117.17</v>
      </c>
      <c r="C24" t="s">
        <v>161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2">
      <c r="A25">
        <v>7</v>
      </c>
      <c r="B25" t="s">
        <v>139</v>
      </c>
      <c r="C25" t="s">
        <v>162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2">
      <c r="A26">
        <v>8</v>
      </c>
      <c r="B26">
        <v>117.17</v>
      </c>
      <c r="C26" t="s">
        <v>163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2">
      <c r="A27">
        <v>8</v>
      </c>
      <c r="B27">
        <v>120.17</v>
      </c>
      <c r="C27" t="s">
        <v>163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2">
      <c r="A28">
        <v>8</v>
      </c>
      <c r="B28" t="s">
        <v>139</v>
      </c>
      <c r="C28" t="s">
        <v>164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2">
      <c r="A29">
        <v>8</v>
      </c>
      <c r="B29">
        <v>120.14</v>
      </c>
      <c r="C29" t="s">
        <v>164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2">
      <c r="A30">
        <v>9</v>
      </c>
      <c r="B30" t="s">
        <v>139</v>
      </c>
      <c r="C30" t="s">
        <v>165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</row>
    <row r="31" spans="1:24" x14ac:dyDescent="0.2">
      <c r="A31">
        <v>9</v>
      </c>
      <c r="B31">
        <v>117.17</v>
      </c>
      <c r="C31" t="s">
        <v>166</v>
      </c>
      <c r="D31">
        <v>1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2">
      <c r="A32">
        <v>9</v>
      </c>
      <c r="B32">
        <v>120.14</v>
      </c>
      <c r="C32" t="s">
        <v>158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2">
      <c r="A33">
        <v>9</v>
      </c>
      <c r="B33">
        <v>120.17</v>
      </c>
      <c r="C33" t="s">
        <v>167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2">
      <c r="A34">
        <v>10</v>
      </c>
      <c r="B34">
        <v>120.14</v>
      </c>
      <c r="C34" t="s">
        <v>168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2">
      <c r="A35">
        <v>10</v>
      </c>
      <c r="B35" t="s">
        <v>139</v>
      </c>
      <c r="C35" t="s">
        <v>169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2">
      <c r="A36">
        <v>10</v>
      </c>
      <c r="B36">
        <v>120.17</v>
      </c>
      <c r="C36" t="s">
        <v>170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2">
      <c r="A37">
        <v>10</v>
      </c>
      <c r="B37">
        <v>117.17</v>
      </c>
      <c r="C37" t="s">
        <v>171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2">
      <c r="A38">
        <v>11</v>
      </c>
      <c r="B38">
        <v>120.17</v>
      </c>
      <c r="C38" t="s">
        <v>172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 x14ac:dyDescent="0.2">
      <c r="A39">
        <v>11</v>
      </c>
      <c r="B39">
        <v>120.14</v>
      </c>
      <c r="C39" t="s">
        <v>172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 x14ac:dyDescent="0.2">
      <c r="A40">
        <v>11</v>
      </c>
      <c r="B40">
        <v>117.17</v>
      </c>
      <c r="C40" t="s">
        <v>172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x14ac:dyDescent="0.2">
      <c r="A41">
        <v>11</v>
      </c>
      <c r="B41" t="s">
        <v>139</v>
      </c>
      <c r="C41" t="s">
        <v>172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x14ac:dyDescent="0.2">
      <c r="A42">
        <v>12</v>
      </c>
      <c r="B42">
        <v>117.17</v>
      </c>
      <c r="C42" t="s">
        <v>173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2">
      <c r="A43">
        <v>12</v>
      </c>
      <c r="B43">
        <v>120.17</v>
      </c>
      <c r="C43" t="s">
        <v>174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x14ac:dyDescent="0.2">
      <c r="A44">
        <v>12</v>
      </c>
      <c r="B44" t="s">
        <v>139</v>
      </c>
      <c r="C44" t="s">
        <v>175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2">
      <c r="A45">
        <v>12</v>
      </c>
      <c r="B45">
        <v>120.14</v>
      </c>
      <c r="C45" t="s">
        <v>176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2">
      <c r="A46">
        <v>13</v>
      </c>
      <c r="B46" t="s">
        <v>139</v>
      </c>
      <c r="C46" t="s">
        <v>177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2">
      <c r="A47">
        <v>13</v>
      </c>
      <c r="B47">
        <v>117.17</v>
      </c>
      <c r="C47" t="s">
        <v>158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2">
      <c r="A48">
        <v>13</v>
      </c>
      <c r="B48">
        <v>120.14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2">
      <c r="A49">
        <v>13</v>
      </c>
      <c r="B49">
        <v>120.17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2">
      <c r="A50">
        <v>14</v>
      </c>
      <c r="B50">
        <v>120.14</v>
      </c>
      <c r="C50" t="s">
        <v>178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2">
      <c r="A51">
        <v>14</v>
      </c>
      <c r="B51" t="s">
        <v>139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2">
      <c r="A52">
        <v>14</v>
      </c>
      <c r="B52">
        <v>120.17</v>
      </c>
      <c r="C52" t="s">
        <v>164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2">
      <c r="A53">
        <v>14</v>
      </c>
      <c r="B53">
        <v>117.17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2">
      <c r="A54">
        <v>15</v>
      </c>
      <c r="B54">
        <v>120.17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2">
      <c r="A55">
        <v>15</v>
      </c>
      <c r="B55">
        <v>120.14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2">
      <c r="A56">
        <v>15</v>
      </c>
      <c r="B56">
        <v>117.17</v>
      </c>
      <c r="C56" t="s">
        <v>179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2">
      <c r="A57">
        <v>15</v>
      </c>
      <c r="B57" t="s">
        <v>139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2">
      <c r="A58">
        <v>16</v>
      </c>
      <c r="B58">
        <v>117.17</v>
      </c>
      <c r="C58" t="s">
        <v>180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 x14ac:dyDescent="0.2">
      <c r="A59">
        <v>16</v>
      </c>
      <c r="B59">
        <v>120.17</v>
      </c>
      <c r="C59" t="s">
        <v>181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 x14ac:dyDescent="0.2">
      <c r="A60">
        <v>16</v>
      </c>
      <c r="B60" t="s">
        <v>139</v>
      </c>
      <c r="C60" t="s">
        <v>164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 x14ac:dyDescent="0.2">
      <c r="A61">
        <v>16</v>
      </c>
      <c r="B61">
        <v>120.14</v>
      </c>
      <c r="C61" t="s">
        <v>182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1:24" x14ac:dyDescent="0.2">
      <c r="A62">
        <v>17</v>
      </c>
      <c r="B62" t="s">
        <v>139</v>
      </c>
      <c r="C62" t="s">
        <v>183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</row>
    <row r="63" spans="1:24" x14ac:dyDescent="0.2">
      <c r="A63">
        <v>17</v>
      </c>
      <c r="B63">
        <v>117.17</v>
      </c>
      <c r="C63" t="s">
        <v>184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</row>
    <row r="64" spans="1:24" x14ac:dyDescent="0.2">
      <c r="A64">
        <v>17</v>
      </c>
      <c r="B64">
        <v>120.14</v>
      </c>
      <c r="C64" t="s">
        <v>185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 x14ac:dyDescent="0.2">
      <c r="A65">
        <v>17</v>
      </c>
      <c r="B65">
        <v>120.17</v>
      </c>
      <c r="C65" t="s">
        <v>186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1:24" x14ac:dyDescent="0.2">
      <c r="A66">
        <v>18</v>
      </c>
      <c r="B66">
        <v>120.14</v>
      </c>
      <c r="C66" t="s">
        <v>179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 x14ac:dyDescent="0.2">
      <c r="A67">
        <v>18</v>
      </c>
      <c r="B67" t="s">
        <v>139</v>
      </c>
      <c r="C67" t="s">
        <v>187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1:24" x14ac:dyDescent="0.2">
      <c r="A68">
        <v>18</v>
      </c>
      <c r="B68">
        <v>120.17</v>
      </c>
      <c r="C68" t="s">
        <v>188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 x14ac:dyDescent="0.2">
      <c r="A69">
        <v>18</v>
      </c>
      <c r="B69">
        <v>117.17</v>
      </c>
      <c r="C69" t="s">
        <v>189</v>
      </c>
      <c r="D69">
        <v>0</v>
      </c>
      <c r="E69">
        <v>0</v>
      </c>
      <c r="F69">
        <v>0</v>
      </c>
      <c r="G69">
        <v>0</v>
      </c>
      <c r="H69">
        <v>1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 x14ac:dyDescent="0.2">
      <c r="A70">
        <v>19</v>
      </c>
      <c r="B70">
        <v>120.17</v>
      </c>
      <c r="C70" t="s">
        <v>190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1:24" x14ac:dyDescent="0.2">
      <c r="A71">
        <v>19</v>
      </c>
      <c r="B71">
        <v>120.14</v>
      </c>
      <c r="C71" t="s">
        <v>158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1:24" x14ac:dyDescent="0.2">
      <c r="A72">
        <v>19</v>
      </c>
      <c r="B72">
        <v>117.17</v>
      </c>
      <c r="C72" t="s">
        <v>191</v>
      </c>
      <c r="D72">
        <v>0</v>
      </c>
      <c r="E72">
        <v>0</v>
      </c>
      <c r="F72">
        <v>0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1:24" x14ac:dyDescent="0.2">
      <c r="A73">
        <v>19</v>
      </c>
      <c r="B73" t="s">
        <v>139</v>
      </c>
      <c r="C73" t="s">
        <v>192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 x14ac:dyDescent="0.2">
      <c r="A74">
        <v>20</v>
      </c>
      <c r="B74">
        <v>117.17</v>
      </c>
      <c r="C74" t="s">
        <v>193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 x14ac:dyDescent="0.2">
      <c r="A75">
        <v>20</v>
      </c>
      <c r="B75">
        <v>120.17</v>
      </c>
      <c r="C75" t="s">
        <v>190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24" x14ac:dyDescent="0.2">
      <c r="A76">
        <v>20</v>
      </c>
      <c r="B76" t="s">
        <v>139</v>
      </c>
      <c r="C76" t="s">
        <v>194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1:24" x14ac:dyDescent="0.2">
      <c r="A77">
        <v>20</v>
      </c>
      <c r="B77">
        <v>120.14</v>
      </c>
      <c r="C77" t="s">
        <v>190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 x14ac:dyDescent="0.2">
      <c r="A78">
        <v>21</v>
      </c>
      <c r="B78" t="s">
        <v>139</v>
      </c>
      <c r="C78" t="s">
        <v>195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24" x14ac:dyDescent="0.2">
      <c r="A79">
        <v>21</v>
      </c>
      <c r="B79">
        <v>117.17</v>
      </c>
      <c r="C79" t="s">
        <v>158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24" x14ac:dyDescent="0.2">
      <c r="A80">
        <v>21</v>
      </c>
      <c r="B80">
        <v>120.14</v>
      </c>
      <c r="C80" t="s">
        <v>196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1:24" x14ac:dyDescent="0.2">
      <c r="A81">
        <v>21</v>
      </c>
      <c r="B81">
        <v>120.17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x14ac:dyDescent="0.2">
      <c r="A82">
        <v>22</v>
      </c>
      <c r="B82">
        <v>120.14</v>
      </c>
      <c r="C82" t="s">
        <v>197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 x14ac:dyDescent="0.2">
      <c r="A83">
        <v>22</v>
      </c>
      <c r="B83" t="s">
        <v>139</v>
      </c>
      <c r="C83" t="s">
        <v>198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</v>
      </c>
    </row>
    <row r="84" spans="1:24" x14ac:dyDescent="0.2">
      <c r="A84">
        <v>22</v>
      </c>
      <c r="B84">
        <v>120.17</v>
      </c>
      <c r="C84" t="s">
        <v>199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 x14ac:dyDescent="0.2">
      <c r="A85">
        <v>22</v>
      </c>
      <c r="B85">
        <v>117.17</v>
      </c>
      <c r="C85" t="s">
        <v>200</v>
      </c>
      <c r="D85">
        <v>0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x14ac:dyDescent="0.2">
      <c r="A86">
        <v>23</v>
      </c>
      <c r="B86">
        <v>120.17</v>
      </c>
      <c r="C86" t="s">
        <v>201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</row>
    <row r="87" spans="1:24" x14ac:dyDescent="0.2">
      <c r="A87">
        <v>23</v>
      </c>
      <c r="B87">
        <v>120.14</v>
      </c>
      <c r="C87" t="s">
        <v>202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1:24" x14ac:dyDescent="0.2">
      <c r="A88">
        <v>23</v>
      </c>
      <c r="B88">
        <v>117.17</v>
      </c>
      <c r="C88" t="s">
        <v>203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</row>
    <row r="89" spans="1:24" x14ac:dyDescent="0.2">
      <c r="A89">
        <v>23</v>
      </c>
      <c r="B89" t="s">
        <v>139</v>
      </c>
      <c r="C89" t="s">
        <v>204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 x14ac:dyDescent="0.2">
      <c r="A90">
        <v>24</v>
      </c>
      <c r="B90">
        <v>117.17</v>
      </c>
      <c r="C90" t="s">
        <v>164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1:24" x14ac:dyDescent="0.2">
      <c r="A91">
        <v>24</v>
      </c>
      <c r="B91">
        <v>120.17</v>
      </c>
      <c r="C91" t="s">
        <v>205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 x14ac:dyDescent="0.2">
      <c r="A92">
        <v>24</v>
      </c>
      <c r="B92" t="s">
        <v>139</v>
      </c>
      <c r="C92" t="s">
        <v>164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">
      <c r="A93">
        <v>24</v>
      </c>
      <c r="B93">
        <v>120.14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">
      <c r="A94">
        <v>25</v>
      </c>
      <c r="B94" t="s">
        <v>139</v>
      </c>
      <c r="C94" t="s">
        <v>206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">
      <c r="A95">
        <v>25</v>
      </c>
      <c r="B95">
        <v>117.17</v>
      </c>
      <c r="C95" t="s">
        <v>207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</row>
    <row r="96" spans="1:24" x14ac:dyDescent="0.2">
      <c r="A96">
        <v>25</v>
      </c>
      <c r="B96">
        <v>120.14</v>
      </c>
      <c r="C96" t="s">
        <v>208</v>
      </c>
      <c r="D96">
        <v>0</v>
      </c>
      <c r="E96">
        <v>0</v>
      </c>
      <c r="F96">
        <v>0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x14ac:dyDescent="0.2">
      <c r="A97">
        <v>25</v>
      </c>
      <c r="B97">
        <v>120.17</v>
      </c>
      <c r="C97" t="s">
        <v>209</v>
      </c>
      <c r="D97">
        <v>1</v>
      </c>
      <c r="E97">
        <v>0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 x14ac:dyDescent="0.2">
      <c r="A98">
        <v>26</v>
      </c>
      <c r="B98">
        <v>120.14</v>
      </c>
      <c r="C98" t="s">
        <v>210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</row>
    <row r="99" spans="1:24" x14ac:dyDescent="0.2">
      <c r="A99">
        <v>26</v>
      </c>
      <c r="B99" t="s">
        <v>139</v>
      </c>
      <c r="C99" t="s">
        <v>211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 x14ac:dyDescent="0.2">
      <c r="A100">
        <v>26</v>
      </c>
      <c r="B100">
        <v>120.17</v>
      </c>
      <c r="C100" t="s">
        <v>212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x14ac:dyDescent="0.2">
      <c r="A101">
        <v>26</v>
      </c>
      <c r="B101">
        <v>117.17</v>
      </c>
      <c r="C101" t="s">
        <v>213</v>
      </c>
      <c r="D101">
        <v>1</v>
      </c>
      <c r="E101">
        <v>0</v>
      </c>
      <c r="F101">
        <v>1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 x14ac:dyDescent="0.2">
      <c r="A102">
        <v>27</v>
      </c>
      <c r="B102">
        <v>120.17</v>
      </c>
      <c r="C102" t="s">
        <v>214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 x14ac:dyDescent="0.2">
      <c r="A103">
        <v>27</v>
      </c>
      <c r="B103">
        <v>120.14</v>
      </c>
      <c r="C103" t="s">
        <v>176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1:24" x14ac:dyDescent="0.2">
      <c r="A104">
        <v>27</v>
      </c>
      <c r="B104">
        <v>117.17</v>
      </c>
      <c r="C104" t="s">
        <v>215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</row>
    <row r="105" spans="1:24" x14ac:dyDescent="0.2">
      <c r="A105">
        <v>27</v>
      </c>
      <c r="B105" t="s">
        <v>139</v>
      </c>
      <c r="C105" t="s">
        <v>216</v>
      </c>
      <c r="D105">
        <v>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 x14ac:dyDescent="0.2">
      <c r="A106">
        <v>28</v>
      </c>
      <c r="B106">
        <v>117.17</v>
      </c>
      <c r="C106" t="s">
        <v>217</v>
      </c>
      <c r="D106">
        <v>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1:24" x14ac:dyDescent="0.2">
      <c r="A107">
        <v>28</v>
      </c>
      <c r="B107">
        <v>120.17</v>
      </c>
      <c r="C107" t="s">
        <v>218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24" x14ac:dyDescent="0.2">
      <c r="A108">
        <v>28</v>
      </c>
      <c r="B108" t="s">
        <v>139</v>
      </c>
      <c r="C108" t="s">
        <v>219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24" x14ac:dyDescent="0.2">
      <c r="A109">
        <v>28</v>
      </c>
      <c r="B109">
        <v>120.14</v>
      </c>
      <c r="C109" t="s">
        <v>220</v>
      </c>
      <c r="D109">
        <v>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1:24" x14ac:dyDescent="0.2">
      <c r="A110">
        <v>29</v>
      </c>
      <c r="B110" t="s">
        <v>139</v>
      </c>
      <c r="C110" t="s">
        <v>149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 x14ac:dyDescent="0.2">
      <c r="A111">
        <v>29</v>
      </c>
      <c r="B111">
        <v>117.17</v>
      </c>
      <c r="C111" t="s">
        <v>221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24" x14ac:dyDescent="0.2">
      <c r="A112">
        <v>29</v>
      </c>
      <c r="B112">
        <v>120.14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2">
      <c r="A113">
        <v>29</v>
      </c>
      <c r="B113">
        <v>120.17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2">
      <c r="A114">
        <v>30</v>
      </c>
      <c r="B114">
        <v>120.14</v>
      </c>
      <c r="C114" t="s">
        <v>190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2">
      <c r="A115">
        <v>30</v>
      </c>
      <c r="B115" t="s">
        <v>139</v>
      </c>
      <c r="C115" t="s">
        <v>222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2">
      <c r="A116">
        <v>30</v>
      </c>
      <c r="B116">
        <v>120.17</v>
      </c>
      <c r="C116" t="s">
        <v>223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2">
      <c r="A117">
        <v>30</v>
      </c>
      <c r="B117">
        <v>117.17</v>
      </c>
      <c r="C117" t="s">
        <v>224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2">
      <c r="A118">
        <v>31</v>
      </c>
      <c r="B118">
        <v>120.17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2">
      <c r="A119">
        <v>31</v>
      </c>
      <c r="B119">
        <v>120.14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2">
      <c r="A120">
        <v>31</v>
      </c>
      <c r="B120">
        <v>117.17</v>
      </c>
      <c r="C120" t="s">
        <v>158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2">
      <c r="A121">
        <v>31</v>
      </c>
      <c r="B121" t="s">
        <v>139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2">
      <c r="A122">
        <v>32</v>
      </c>
      <c r="B122">
        <v>117.17</v>
      </c>
      <c r="C122" t="s">
        <v>225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2">
      <c r="A123">
        <v>32</v>
      </c>
      <c r="B123">
        <v>120.17</v>
      </c>
      <c r="C123" t="s">
        <v>226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2">
      <c r="A124">
        <v>32</v>
      </c>
      <c r="B124" t="s">
        <v>139</v>
      </c>
      <c r="C124" t="s">
        <v>227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1:24" x14ac:dyDescent="0.2">
      <c r="A125">
        <v>32</v>
      </c>
      <c r="B125">
        <v>120.14</v>
      </c>
      <c r="C125" t="s">
        <v>228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</row>
    <row r="126" spans="1:24" x14ac:dyDescent="0.2">
      <c r="A126">
        <v>33</v>
      </c>
      <c r="B126" t="s">
        <v>139</v>
      </c>
      <c r="C126" t="s">
        <v>164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1:24" x14ac:dyDescent="0.2">
      <c r="A127">
        <v>33</v>
      </c>
      <c r="B127">
        <v>117.17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1:24" x14ac:dyDescent="0.2">
      <c r="A128">
        <v>33</v>
      </c>
      <c r="B128">
        <v>120.14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2">
      <c r="A129">
        <v>33</v>
      </c>
      <c r="B129">
        <v>120.17</v>
      </c>
      <c r="C129" t="s">
        <v>164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2">
      <c r="A130">
        <v>34</v>
      </c>
      <c r="B130">
        <v>120.14</v>
      </c>
      <c r="C130" t="s">
        <v>164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2">
      <c r="A131">
        <v>34</v>
      </c>
      <c r="B131" t="s">
        <v>139</v>
      </c>
      <c r="C131" t="s">
        <v>164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2">
      <c r="A132">
        <v>34</v>
      </c>
      <c r="B132">
        <v>120.17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1:24" x14ac:dyDescent="0.2">
      <c r="A133">
        <v>34</v>
      </c>
      <c r="B133">
        <v>117.17</v>
      </c>
      <c r="C133" t="s">
        <v>164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 x14ac:dyDescent="0.2">
      <c r="A134">
        <v>35</v>
      </c>
      <c r="B134">
        <v>120.17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 x14ac:dyDescent="0.2">
      <c r="A135">
        <v>35</v>
      </c>
      <c r="B135">
        <v>120.14</v>
      </c>
      <c r="C135" t="s">
        <v>164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1:24" x14ac:dyDescent="0.2">
      <c r="A136">
        <v>35</v>
      </c>
      <c r="B136">
        <v>117.17</v>
      </c>
      <c r="C136" t="s">
        <v>229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 x14ac:dyDescent="0.2">
      <c r="A137">
        <v>35</v>
      </c>
      <c r="B137" t="s">
        <v>139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1:24" x14ac:dyDescent="0.2">
      <c r="A138">
        <v>36</v>
      </c>
      <c r="B138">
        <v>117.17</v>
      </c>
      <c r="C138" t="s">
        <v>230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2">
      <c r="A139">
        <v>36</v>
      </c>
      <c r="B139">
        <v>120.17</v>
      </c>
      <c r="C139" t="s">
        <v>231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2">
      <c r="A140">
        <v>36</v>
      </c>
      <c r="B140" t="s">
        <v>139</v>
      </c>
      <c r="C140" t="s">
        <v>232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2">
      <c r="A141">
        <v>36</v>
      </c>
      <c r="B141">
        <v>120.14</v>
      </c>
      <c r="C141" t="s">
        <v>233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2">
      <c r="A142">
        <v>37</v>
      </c>
      <c r="B142" t="s">
        <v>139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2">
      <c r="A143">
        <v>37</v>
      </c>
      <c r="B143">
        <v>117.17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1:24" x14ac:dyDescent="0.2">
      <c r="A144">
        <v>37</v>
      </c>
      <c r="B144">
        <v>120.14</v>
      </c>
      <c r="C144" t="s">
        <v>234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 x14ac:dyDescent="0.2">
      <c r="A145">
        <v>37</v>
      </c>
      <c r="B145">
        <v>120.17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 x14ac:dyDescent="0.2">
      <c r="A146">
        <v>38</v>
      </c>
      <c r="B146">
        <v>120.14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2">
      <c r="A147">
        <v>38</v>
      </c>
      <c r="B147" t="s">
        <v>139</v>
      </c>
      <c r="C147" t="s">
        <v>142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2">
      <c r="A148">
        <v>38</v>
      </c>
      <c r="B148">
        <v>120.17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2">
      <c r="A149">
        <v>38</v>
      </c>
      <c r="B149">
        <v>117.17</v>
      </c>
      <c r="C149" t="s">
        <v>177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2">
      <c r="A150">
        <v>39</v>
      </c>
      <c r="B150">
        <v>120.17</v>
      </c>
      <c r="C150" t="s">
        <v>235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</row>
    <row r="151" spans="1:24" x14ac:dyDescent="0.2">
      <c r="A151">
        <v>39</v>
      </c>
      <c r="B151">
        <v>120.14</v>
      </c>
      <c r="C151" t="s">
        <v>158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</row>
    <row r="152" spans="1:24" x14ac:dyDescent="0.2">
      <c r="A152">
        <v>39</v>
      </c>
      <c r="B152">
        <v>117.17</v>
      </c>
      <c r="C152" t="s">
        <v>236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 x14ac:dyDescent="0.2">
      <c r="A153">
        <v>39</v>
      </c>
      <c r="B153" t="s">
        <v>139</v>
      </c>
      <c r="C153" t="s">
        <v>237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 x14ac:dyDescent="0.2">
      <c r="A154">
        <v>40</v>
      </c>
      <c r="B154">
        <v>117.17</v>
      </c>
      <c r="C154" t="s">
        <v>238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 x14ac:dyDescent="0.2">
      <c r="A155">
        <v>40</v>
      </c>
      <c r="B155">
        <v>120.17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1:24" x14ac:dyDescent="0.2">
      <c r="A156">
        <v>40</v>
      </c>
      <c r="B156" t="s">
        <v>139</v>
      </c>
      <c r="C156" t="s">
        <v>176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</row>
    <row r="157" spans="1:24" x14ac:dyDescent="0.2">
      <c r="A157">
        <v>40</v>
      </c>
      <c r="B157">
        <v>120.14</v>
      </c>
      <c r="C157" t="s">
        <v>239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</row>
    <row r="158" spans="1:24" x14ac:dyDescent="0.2">
      <c r="A158">
        <v>41</v>
      </c>
      <c r="B158" t="s">
        <v>139</v>
      </c>
      <c r="C158" t="s">
        <v>240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1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</row>
    <row r="159" spans="1:24" x14ac:dyDescent="0.2">
      <c r="A159">
        <v>41</v>
      </c>
      <c r="B159">
        <v>117.17</v>
      </c>
      <c r="C159" t="s">
        <v>241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</row>
    <row r="160" spans="1:24" x14ac:dyDescent="0.2">
      <c r="A160">
        <v>41</v>
      </c>
      <c r="B160">
        <v>120.14</v>
      </c>
      <c r="C160" t="s">
        <v>242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 x14ac:dyDescent="0.2">
      <c r="A161">
        <v>41</v>
      </c>
      <c r="B161">
        <v>120.17</v>
      </c>
      <c r="C161" t="s">
        <v>243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 x14ac:dyDescent="0.2">
      <c r="A162">
        <v>42</v>
      </c>
      <c r="B162">
        <v>120.14</v>
      </c>
      <c r="C162" t="s">
        <v>244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</row>
    <row r="163" spans="1:24" x14ac:dyDescent="0.2">
      <c r="A163">
        <v>42</v>
      </c>
      <c r="B163" t="s">
        <v>139</v>
      </c>
      <c r="C163" t="s">
        <v>245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1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 x14ac:dyDescent="0.2">
      <c r="A164">
        <v>42</v>
      </c>
      <c r="B164">
        <v>120.17</v>
      </c>
      <c r="C164" t="s">
        <v>246</v>
      </c>
      <c r="D164">
        <v>0</v>
      </c>
      <c r="E164">
        <v>1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 x14ac:dyDescent="0.2">
      <c r="A165">
        <v>42</v>
      </c>
      <c r="B165">
        <v>117.17</v>
      </c>
      <c r="C165" t="s">
        <v>247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</row>
    <row r="166" spans="1:24" x14ac:dyDescent="0.2">
      <c r="A166">
        <v>43</v>
      </c>
      <c r="B166">
        <v>120.17</v>
      </c>
      <c r="C166" t="s">
        <v>248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 x14ac:dyDescent="0.2">
      <c r="A167">
        <v>43</v>
      </c>
      <c r="B167">
        <v>120.14</v>
      </c>
      <c r="C167" t="s">
        <v>249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1:24" x14ac:dyDescent="0.2">
      <c r="A168">
        <v>43</v>
      </c>
      <c r="B168">
        <v>117.17</v>
      </c>
      <c r="C168" t="s">
        <v>250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</v>
      </c>
    </row>
    <row r="169" spans="1:24" x14ac:dyDescent="0.2">
      <c r="A169">
        <v>43</v>
      </c>
      <c r="B169" t="s">
        <v>139</v>
      </c>
      <c r="C169" t="s">
        <v>251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 x14ac:dyDescent="0.2">
      <c r="A170">
        <v>44</v>
      </c>
      <c r="B170">
        <v>117.17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1:24" x14ac:dyDescent="0.2">
      <c r="A171">
        <v>44</v>
      </c>
      <c r="B171">
        <v>120.17</v>
      </c>
      <c r="C171" t="s">
        <v>234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 x14ac:dyDescent="0.2">
      <c r="A172">
        <v>44</v>
      </c>
      <c r="B172" t="s">
        <v>139</v>
      </c>
      <c r="C172" t="s">
        <v>252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">
      <c r="A173">
        <v>44</v>
      </c>
      <c r="B173">
        <v>120.14</v>
      </c>
      <c r="C173" t="s">
        <v>253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">
      <c r="A174">
        <v>45</v>
      </c>
      <c r="B174" t="s">
        <v>139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">
      <c r="A175">
        <v>45</v>
      </c>
      <c r="B175">
        <v>117.17</v>
      </c>
      <c r="C175" t="s">
        <v>158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">
      <c r="A176">
        <v>45</v>
      </c>
      <c r="B176">
        <v>120.14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">
      <c r="A177">
        <v>45</v>
      </c>
      <c r="B177">
        <v>120.17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2">
      <c r="A178">
        <v>46</v>
      </c>
      <c r="B178">
        <v>120.14</v>
      </c>
      <c r="C178" t="s">
        <v>254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2">
      <c r="A179">
        <v>46</v>
      </c>
      <c r="B179" t="s">
        <v>139</v>
      </c>
      <c r="C179" t="s">
        <v>255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 x14ac:dyDescent="0.2">
      <c r="A180">
        <v>46</v>
      </c>
      <c r="B180">
        <v>120.17</v>
      </c>
      <c r="C180" t="s">
        <v>158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2">
      <c r="A181">
        <v>46</v>
      </c>
      <c r="B181">
        <v>117.17</v>
      </c>
      <c r="C181" t="s">
        <v>256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2">
      <c r="A182">
        <v>47</v>
      </c>
      <c r="B182">
        <v>120.17</v>
      </c>
      <c r="C182" t="s">
        <v>164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 x14ac:dyDescent="0.2">
      <c r="A183">
        <v>47</v>
      </c>
      <c r="B183">
        <v>120.14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 x14ac:dyDescent="0.2">
      <c r="A184">
        <v>47</v>
      </c>
      <c r="B184">
        <v>117.17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 x14ac:dyDescent="0.2">
      <c r="A185">
        <v>47</v>
      </c>
      <c r="B185" t="s">
        <v>139</v>
      </c>
      <c r="C185" t="s">
        <v>158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1:24" x14ac:dyDescent="0.2">
      <c r="A186">
        <v>48</v>
      </c>
      <c r="B186">
        <v>117.17</v>
      </c>
      <c r="C186" t="s">
        <v>257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 x14ac:dyDescent="0.2">
      <c r="A187">
        <v>48</v>
      </c>
      <c r="B187">
        <v>120.17</v>
      </c>
      <c r="C187" t="s">
        <v>258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1:24" x14ac:dyDescent="0.2">
      <c r="A188">
        <v>48</v>
      </c>
      <c r="B188" t="s">
        <v>139</v>
      </c>
      <c r="C188" t="s">
        <v>259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2">
      <c r="A189">
        <v>48</v>
      </c>
      <c r="B189">
        <v>120.14</v>
      </c>
      <c r="C189" t="s">
        <v>260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 x14ac:dyDescent="0.2">
      <c r="A190">
        <v>49</v>
      </c>
      <c r="B190" t="s">
        <v>139</v>
      </c>
      <c r="C190" t="s">
        <v>261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 x14ac:dyDescent="0.2">
      <c r="A191">
        <v>49</v>
      </c>
      <c r="B191">
        <v>117.17</v>
      </c>
      <c r="C191" t="s">
        <v>262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 x14ac:dyDescent="0.2">
      <c r="A192">
        <v>49</v>
      </c>
      <c r="B192">
        <v>120.14</v>
      </c>
      <c r="C192" t="s">
        <v>263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 x14ac:dyDescent="0.2">
      <c r="A193">
        <v>49</v>
      </c>
      <c r="B193">
        <v>120.17</v>
      </c>
      <c r="C193" t="s">
        <v>206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 x14ac:dyDescent="0.2">
      <c r="A194">
        <v>50</v>
      </c>
      <c r="B194">
        <v>120.14</v>
      </c>
      <c r="C194" t="s">
        <v>264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 x14ac:dyDescent="0.2">
      <c r="A195">
        <v>50</v>
      </c>
      <c r="B195" t="s">
        <v>139</v>
      </c>
      <c r="C195" t="s">
        <v>265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</row>
    <row r="196" spans="1:24" x14ac:dyDescent="0.2">
      <c r="A196">
        <v>50</v>
      </c>
      <c r="B196">
        <v>120.17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</row>
    <row r="197" spans="1:24" x14ac:dyDescent="0.2">
      <c r="A197">
        <v>50</v>
      </c>
      <c r="B197">
        <v>117.17</v>
      </c>
      <c r="C197" t="s">
        <v>142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 x14ac:dyDescent="0.2">
      <c r="A198">
        <v>51</v>
      </c>
      <c r="B198">
        <v>120.17</v>
      </c>
      <c r="C198" t="s">
        <v>164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 x14ac:dyDescent="0.2">
      <c r="A199">
        <v>51</v>
      </c>
      <c r="B199">
        <v>120.14</v>
      </c>
      <c r="C199" t="s">
        <v>158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 x14ac:dyDescent="0.2">
      <c r="A200">
        <v>51</v>
      </c>
      <c r="B200">
        <v>117.17</v>
      </c>
      <c r="C200" t="s">
        <v>158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1:24" x14ac:dyDescent="0.2">
      <c r="A201">
        <v>51</v>
      </c>
      <c r="B201" t="s">
        <v>139</v>
      </c>
      <c r="C201" t="s">
        <v>164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1:24" x14ac:dyDescent="0.2">
      <c r="A202">
        <v>52</v>
      </c>
      <c r="B202">
        <v>117.17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1:24" x14ac:dyDescent="0.2">
      <c r="A203">
        <v>52</v>
      </c>
      <c r="B203">
        <v>120.17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</row>
    <row r="204" spans="1:24" x14ac:dyDescent="0.2">
      <c r="A204">
        <v>52</v>
      </c>
      <c r="B204" t="s">
        <v>139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 x14ac:dyDescent="0.2">
      <c r="A205">
        <v>52</v>
      </c>
      <c r="B205">
        <v>120.14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 x14ac:dyDescent="0.2">
      <c r="A206">
        <v>53</v>
      </c>
      <c r="B206" t="s">
        <v>139</v>
      </c>
      <c r="C206" t="s">
        <v>266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1</v>
      </c>
      <c r="V206">
        <v>0</v>
      </c>
      <c r="W206">
        <v>0</v>
      </c>
      <c r="X206">
        <v>0</v>
      </c>
    </row>
    <row r="207" spans="1:24" x14ac:dyDescent="0.2">
      <c r="A207">
        <v>53</v>
      </c>
      <c r="B207">
        <v>117.17</v>
      </c>
      <c r="C207" t="s">
        <v>267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24" x14ac:dyDescent="0.2">
      <c r="A208">
        <v>53</v>
      </c>
      <c r="B208">
        <v>120.14</v>
      </c>
      <c r="C208" t="s">
        <v>268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 x14ac:dyDescent="0.2">
      <c r="A209">
        <v>53</v>
      </c>
      <c r="B209">
        <v>120.17</v>
      </c>
      <c r="C209" t="s">
        <v>269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1:24" x14ac:dyDescent="0.2">
      <c r="A210">
        <v>54</v>
      </c>
      <c r="B210">
        <v>120.14</v>
      </c>
      <c r="C210" t="s">
        <v>270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1</v>
      </c>
      <c r="W210">
        <v>0</v>
      </c>
      <c r="X210">
        <v>0</v>
      </c>
    </row>
    <row r="211" spans="1:24" x14ac:dyDescent="0.2">
      <c r="A211">
        <v>54</v>
      </c>
      <c r="B211" t="s">
        <v>139</v>
      </c>
      <c r="C211" t="s">
        <v>271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2">
      <c r="A212">
        <v>54</v>
      </c>
      <c r="B212">
        <v>120.17</v>
      </c>
      <c r="C212" t="s">
        <v>272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1:24" x14ac:dyDescent="0.2">
      <c r="A213">
        <v>54</v>
      </c>
      <c r="B213">
        <v>117.17</v>
      </c>
      <c r="C213" t="s">
        <v>273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1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2">
      <c r="A214">
        <v>55</v>
      </c>
      <c r="B214">
        <v>120.17</v>
      </c>
      <c r="C214" t="s">
        <v>164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2">
      <c r="A215">
        <v>55</v>
      </c>
      <c r="B215">
        <v>120.14</v>
      </c>
      <c r="C215" t="s">
        <v>274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 x14ac:dyDescent="0.2">
      <c r="A216">
        <v>55</v>
      </c>
      <c r="B216">
        <v>117.17</v>
      </c>
      <c r="C216" t="s">
        <v>232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 x14ac:dyDescent="0.2">
      <c r="A217">
        <v>55</v>
      </c>
      <c r="B217" t="s">
        <v>139</v>
      </c>
      <c r="C217" t="s">
        <v>275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 x14ac:dyDescent="0.2">
      <c r="A218">
        <v>56</v>
      </c>
      <c r="B218">
        <v>117.17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  <row r="219" spans="1:24" x14ac:dyDescent="0.2">
      <c r="A219">
        <v>56</v>
      </c>
      <c r="B219">
        <v>120.17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</row>
    <row r="220" spans="1:24" x14ac:dyDescent="0.2">
      <c r="A220">
        <v>56</v>
      </c>
      <c r="B220" t="s">
        <v>139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 x14ac:dyDescent="0.2">
      <c r="A221">
        <v>56</v>
      </c>
      <c r="B221">
        <v>120.14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2">
      <c r="A222">
        <v>57</v>
      </c>
      <c r="B222" t="s">
        <v>139</v>
      </c>
      <c r="C222" t="s">
        <v>164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</row>
    <row r="223" spans="1:24" x14ac:dyDescent="0.2">
      <c r="A223">
        <v>57</v>
      </c>
      <c r="B223">
        <v>117.17</v>
      </c>
      <c r="C223" t="s">
        <v>276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</row>
    <row r="224" spans="1:24" x14ac:dyDescent="0.2">
      <c r="A224">
        <v>57</v>
      </c>
      <c r="B224">
        <v>120.14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</row>
    <row r="225" spans="1:24" x14ac:dyDescent="0.2">
      <c r="A225">
        <v>57</v>
      </c>
      <c r="B225">
        <v>120.17</v>
      </c>
      <c r="C225" t="s">
        <v>164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 x14ac:dyDescent="0.2">
      <c r="A226">
        <v>58</v>
      </c>
      <c r="B226">
        <v>120.14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</row>
    <row r="227" spans="1:24" x14ac:dyDescent="0.2">
      <c r="A227">
        <v>58</v>
      </c>
      <c r="B227" t="s">
        <v>139</v>
      </c>
      <c r="C227" t="s">
        <v>190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 x14ac:dyDescent="0.2">
      <c r="A228">
        <v>58</v>
      </c>
      <c r="B228">
        <v>120.17</v>
      </c>
      <c r="C228" t="s">
        <v>158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</row>
    <row r="229" spans="1:24" x14ac:dyDescent="0.2">
      <c r="A229">
        <v>58</v>
      </c>
      <c r="B229">
        <v>117.17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 x14ac:dyDescent="0.2">
      <c r="A230">
        <v>59</v>
      </c>
      <c r="B230">
        <v>120.17</v>
      </c>
      <c r="C230" t="s">
        <v>164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 x14ac:dyDescent="0.2">
      <c r="A231">
        <v>59</v>
      </c>
      <c r="B231">
        <v>120.14</v>
      </c>
      <c r="C231" t="s">
        <v>277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 x14ac:dyDescent="0.2">
      <c r="A232">
        <v>59</v>
      </c>
      <c r="B232">
        <v>117.17</v>
      </c>
      <c r="C232" t="s">
        <v>278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 x14ac:dyDescent="0.2">
      <c r="A233">
        <v>59</v>
      </c>
      <c r="B233" t="s">
        <v>139</v>
      </c>
      <c r="C233" t="s">
        <v>279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 x14ac:dyDescent="0.2">
      <c r="A234">
        <v>60</v>
      </c>
      <c r="B234">
        <v>117.17</v>
      </c>
      <c r="C234" t="s">
        <v>280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1</v>
      </c>
      <c r="X234">
        <v>0</v>
      </c>
    </row>
    <row r="235" spans="1:24" x14ac:dyDescent="0.2">
      <c r="A235">
        <v>60</v>
      </c>
      <c r="B235">
        <v>120.17</v>
      </c>
      <c r="C235" t="s">
        <v>281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1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</row>
    <row r="236" spans="1:24" x14ac:dyDescent="0.2">
      <c r="A236">
        <v>60</v>
      </c>
      <c r="B236" t="s">
        <v>139</v>
      </c>
      <c r="C236" t="s">
        <v>282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 x14ac:dyDescent="0.2">
      <c r="A237">
        <v>60</v>
      </c>
      <c r="B237">
        <v>120.14</v>
      </c>
      <c r="C237" t="s">
        <v>283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</row>
    <row r="238" spans="1:24" x14ac:dyDescent="0.2">
      <c r="A238">
        <v>61</v>
      </c>
      <c r="B238" t="s">
        <v>139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 x14ac:dyDescent="0.2">
      <c r="A239">
        <v>61</v>
      </c>
      <c r="B239">
        <v>117.17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 x14ac:dyDescent="0.2">
      <c r="A240">
        <v>61</v>
      </c>
      <c r="B240">
        <v>120.14</v>
      </c>
      <c r="C240" t="s">
        <v>164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2">
      <c r="A241">
        <v>61</v>
      </c>
      <c r="B241">
        <v>120.17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</row>
    <row r="242" spans="1:24" x14ac:dyDescent="0.2">
      <c r="A242">
        <v>62</v>
      </c>
      <c r="B242">
        <v>120.14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</row>
    <row r="243" spans="1:24" x14ac:dyDescent="0.2">
      <c r="A243">
        <v>62</v>
      </c>
      <c r="B243" t="s">
        <v>139</v>
      </c>
      <c r="C243" t="s">
        <v>164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2">
      <c r="A244">
        <v>62</v>
      </c>
      <c r="B244">
        <v>120.17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2">
      <c r="A245">
        <v>62</v>
      </c>
      <c r="B245">
        <v>117.17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</row>
    <row r="246" spans="1:24" x14ac:dyDescent="0.2">
      <c r="A246">
        <v>63</v>
      </c>
      <c r="B246">
        <v>120.17</v>
      </c>
      <c r="C246" t="s">
        <v>284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2">
      <c r="A247">
        <v>63</v>
      </c>
      <c r="B247">
        <v>120.14</v>
      </c>
      <c r="C247" t="s">
        <v>285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">
      <c r="A248">
        <v>63</v>
      </c>
      <c r="B248">
        <v>117.17</v>
      </c>
      <c r="C248" t="s">
        <v>286</v>
      </c>
      <c r="D248">
        <v>0</v>
      </c>
      <c r="E248">
        <v>0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">
      <c r="A249">
        <v>63</v>
      </c>
      <c r="B249" t="s">
        <v>139</v>
      </c>
      <c r="C249" t="s">
        <v>164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">
      <c r="A250">
        <v>65</v>
      </c>
      <c r="B250" t="s">
        <v>139</v>
      </c>
      <c r="C250" t="s">
        <v>287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1</v>
      </c>
      <c r="J250">
        <v>1</v>
      </c>
      <c r="K250">
        <v>0</v>
      </c>
      <c r="L250">
        <v>0</v>
      </c>
      <c r="M250">
        <v>1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">
      <c r="A251">
        <v>65</v>
      </c>
      <c r="B251">
        <v>117.17</v>
      </c>
      <c r="C251" t="s">
        <v>288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1</v>
      </c>
      <c r="W251">
        <v>0</v>
      </c>
      <c r="X251">
        <v>0</v>
      </c>
    </row>
    <row r="252" spans="1:24" x14ac:dyDescent="0.2">
      <c r="A252">
        <v>65</v>
      </c>
      <c r="B252">
        <v>120.14</v>
      </c>
      <c r="C252" t="s">
        <v>289</v>
      </c>
      <c r="D252">
        <v>0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">
      <c r="A253">
        <v>65</v>
      </c>
      <c r="B253">
        <v>120.17</v>
      </c>
      <c r="C253" t="s">
        <v>290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">
      <c r="A254">
        <v>66</v>
      </c>
      <c r="B254">
        <v>120.14</v>
      </c>
      <c r="C254" t="s">
        <v>291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">
      <c r="A255">
        <v>66</v>
      </c>
      <c r="B255" t="s">
        <v>139</v>
      </c>
      <c r="C255" t="s">
        <v>292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">
      <c r="A256">
        <v>66</v>
      </c>
      <c r="B256">
        <v>120.17</v>
      </c>
      <c r="C256" t="s">
        <v>293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">
      <c r="A257">
        <v>66</v>
      </c>
      <c r="B257">
        <v>117.17</v>
      </c>
      <c r="C257" t="s">
        <v>283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</v>
      </c>
    </row>
    <row r="258" spans="1:24" x14ac:dyDescent="0.2">
      <c r="A258">
        <v>67</v>
      </c>
      <c r="B258">
        <v>120.17</v>
      </c>
      <c r="C258" t="s">
        <v>294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</row>
    <row r="259" spans="1:24" x14ac:dyDescent="0.2">
      <c r="A259">
        <v>67</v>
      </c>
      <c r="B259">
        <v>120.14</v>
      </c>
      <c r="C259" t="s">
        <v>295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</row>
    <row r="260" spans="1:24" x14ac:dyDescent="0.2">
      <c r="A260">
        <v>67</v>
      </c>
      <c r="B260">
        <v>117.17</v>
      </c>
      <c r="C260" t="s">
        <v>296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</row>
    <row r="261" spans="1:24" x14ac:dyDescent="0.2">
      <c r="A261">
        <v>67</v>
      </c>
      <c r="B261" t="s">
        <v>139</v>
      </c>
      <c r="C261" t="s">
        <v>297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1</v>
      </c>
    </row>
    <row r="262" spans="1:24" x14ac:dyDescent="0.2">
      <c r="A262">
        <v>70</v>
      </c>
      <c r="B262">
        <v>120.14</v>
      </c>
      <c r="C262" t="s">
        <v>164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</row>
    <row r="263" spans="1:24" x14ac:dyDescent="0.2">
      <c r="A263">
        <v>70</v>
      </c>
      <c r="B263" t="s">
        <v>139</v>
      </c>
      <c r="C263" t="s">
        <v>149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</row>
    <row r="264" spans="1:24" x14ac:dyDescent="0.2">
      <c r="A264">
        <v>70</v>
      </c>
      <c r="B264">
        <v>120.17</v>
      </c>
      <c r="C264" t="s">
        <v>298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</row>
    <row r="265" spans="1:24" x14ac:dyDescent="0.2">
      <c r="A265">
        <v>70</v>
      </c>
      <c r="B265">
        <v>117.17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</row>
    <row r="266" spans="1:24" x14ac:dyDescent="0.2">
      <c r="A266">
        <v>71</v>
      </c>
      <c r="B266">
        <v>120.17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</row>
    <row r="267" spans="1:24" x14ac:dyDescent="0.2">
      <c r="A267">
        <v>71</v>
      </c>
      <c r="B267">
        <v>120.14</v>
      </c>
      <c r="C267" t="s">
        <v>299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</row>
    <row r="268" spans="1:24" x14ac:dyDescent="0.2">
      <c r="A268">
        <v>71</v>
      </c>
      <c r="B268">
        <v>117.17</v>
      </c>
      <c r="C268" t="s">
        <v>142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 x14ac:dyDescent="0.2">
      <c r="A269">
        <v>71</v>
      </c>
      <c r="B269" t="s">
        <v>139</v>
      </c>
      <c r="C269" t="s">
        <v>176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</row>
    <row r="270" spans="1:24" x14ac:dyDescent="0.2">
      <c r="A270">
        <v>72</v>
      </c>
      <c r="B270">
        <v>117.17</v>
      </c>
      <c r="C270" t="s">
        <v>300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</row>
    <row r="271" spans="1:24" x14ac:dyDescent="0.2">
      <c r="A271">
        <v>72</v>
      </c>
      <c r="B271">
        <v>120.17</v>
      </c>
      <c r="C271" t="s">
        <v>301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 x14ac:dyDescent="0.2">
      <c r="A272">
        <v>72</v>
      </c>
      <c r="B272" t="s">
        <v>139</v>
      </c>
      <c r="C272" t="s">
        <v>302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2">
      <c r="A273">
        <v>72</v>
      </c>
      <c r="B273">
        <v>120.14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2">
      <c r="A274">
        <v>73</v>
      </c>
      <c r="B274" t="s">
        <v>139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</row>
    <row r="275" spans="1:24" x14ac:dyDescent="0.2">
      <c r="A275">
        <v>73</v>
      </c>
      <c r="B275">
        <v>117.17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 x14ac:dyDescent="0.2">
      <c r="A276">
        <v>73</v>
      </c>
      <c r="B276">
        <v>120.14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2">
      <c r="A277">
        <v>73</v>
      </c>
      <c r="B277">
        <v>120.17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2">
      <c r="A278">
        <v>74</v>
      </c>
      <c r="B278">
        <v>120.14</v>
      </c>
      <c r="C278" t="s">
        <v>164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 x14ac:dyDescent="0.2">
      <c r="A279">
        <v>74</v>
      </c>
      <c r="B279" t="s">
        <v>139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2">
      <c r="A280">
        <v>74</v>
      </c>
      <c r="B280">
        <v>120.17</v>
      </c>
      <c r="C280" t="s">
        <v>163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2">
      <c r="A281">
        <v>74</v>
      </c>
      <c r="B281">
        <v>117.17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</row>
    <row r="282" spans="1:24" x14ac:dyDescent="0.2">
      <c r="A282">
        <v>75</v>
      </c>
      <c r="B282">
        <v>120.17</v>
      </c>
      <c r="C282" t="s">
        <v>303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 x14ac:dyDescent="0.2">
      <c r="A283">
        <v>75</v>
      </c>
      <c r="B283">
        <v>120.14</v>
      </c>
      <c r="C283" t="s">
        <v>304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2">
      <c r="A284">
        <v>75</v>
      </c>
      <c r="B284">
        <v>117.17</v>
      </c>
      <c r="C284" t="s">
        <v>22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</row>
    <row r="285" spans="1:24" x14ac:dyDescent="0.2">
      <c r="A285">
        <v>75</v>
      </c>
      <c r="B285" t="s">
        <v>139</v>
      </c>
      <c r="C285" t="s">
        <v>305</v>
      </c>
      <c r="D285">
        <v>1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1</v>
      </c>
      <c r="T285">
        <v>0</v>
      </c>
      <c r="U285">
        <v>0</v>
      </c>
      <c r="V285">
        <v>0</v>
      </c>
      <c r="W285">
        <v>0</v>
      </c>
      <c r="X285">
        <v>0</v>
      </c>
    </row>
    <row r="286" spans="1:24" x14ac:dyDescent="0.2">
      <c r="A286">
        <v>76</v>
      </c>
      <c r="B286">
        <v>117.17</v>
      </c>
      <c r="C286" t="s">
        <v>306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1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</row>
    <row r="287" spans="1:24" x14ac:dyDescent="0.2">
      <c r="A287">
        <v>76</v>
      </c>
      <c r="B287">
        <v>120.17</v>
      </c>
      <c r="C287" t="s">
        <v>307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2">
      <c r="A288">
        <v>76</v>
      </c>
      <c r="B288" t="s">
        <v>139</v>
      </c>
      <c r="C288" t="s">
        <v>308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</row>
    <row r="289" spans="1:24" x14ac:dyDescent="0.2">
      <c r="A289">
        <v>76</v>
      </c>
      <c r="B289">
        <v>120.14</v>
      </c>
      <c r="C289" t="s">
        <v>173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</row>
    <row r="290" spans="1:24" x14ac:dyDescent="0.2">
      <c r="A290">
        <v>77</v>
      </c>
      <c r="B290" t="s">
        <v>139</v>
      </c>
      <c r="C290" t="s">
        <v>174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</row>
    <row r="291" spans="1:24" x14ac:dyDescent="0.2">
      <c r="A291">
        <v>77</v>
      </c>
      <c r="B291">
        <v>117.17</v>
      </c>
      <c r="C291" t="s">
        <v>309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</row>
    <row r="292" spans="1:24" x14ac:dyDescent="0.2">
      <c r="A292">
        <v>77</v>
      </c>
      <c r="B292">
        <v>120.14</v>
      </c>
      <c r="C292" t="s">
        <v>310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1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</row>
    <row r="293" spans="1:24" x14ac:dyDescent="0.2">
      <c r="A293">
        <v>77</v>
      </c>
      <c r="B293">
        <v>120.17</v>
      </c>
      <c r="C293" t="s">
        <v>311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 x14ac:dyDescent="0.2">
      <c r="A294">
        <v>82</v>
      </c>
      <c r="B294" t="s">
        <v>139</v>
      </c>
      <c r="C294" t="s">
        <v>312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1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</row>
    <row r="295" spans="1:24" x14ac:dyDescent="0.2">
      <c r="A295">
        <v>82</v>
      </c>
      <c r="B295">
        <v>120.17</v>
      </c>
      <c r="C295" t="s">
        <v>313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</row>
    <row r="296" spans="1:24" x14ac:dyDescent="0.2">
      <c r="A296">
        <v>82</v>
      </c>
      <c r="B296">
        <v>120.14</v>
      </c>
      <c r="C296" t="s">
        <v>314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</row>
    <row r="297" spans="1:24" x14ac:dyDescent="0.2">
      <c r="A297">
        <v>82</v>
      </c>
      <c r="B297">
        <v>117.17</v>
      </c>
      <c r="C297" t="s">
        <v>315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</row>
    <row r="298" spans="1:24" x14ac:dyDescent="0.2">
      <c r="A298">
        <v>83</v>
      </c>
      <c r="B298" t="s">
        <v>139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 x14ac:dyDescent="0.2">
      <c r="A299">
        <v>83</v>
      </c>
      <c r="B299">
        <v>120.14</v>
      </c>
      <c r="C299" t="s">
        <v>316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</row>
    <row r="300" spans="1:24" x14ac:dyDescent="0.2">
      <c r="A300">
        <v>83</v>
      </c>
      <c r="B300">
        <v>117.17</v>
      </c>
      <c r="C300" t="s">
        <v>317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</row>
    <row r="301" spans="1:24" x14ac:dyDescent="0.2">
      <c r="A301">
        <v>83</v>
      </c>
      <c r="B301">
        <v>120.17</v>
      </c>
      <c r="C301" t="s">
        <v>164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</row>
    <row r="302" spans="1:24" x14ac:dyDescent="0.2">
      <c r="A302">
        <v>84</v>
      </c>
      <c r="B302">
        <v>117.17</v>
      </c>
      <c r="C302" t="s">
        <v>234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 x14ac:dyDescent="0.2">
      <c r="A303">
        <v>84</v>
      </c>
      <c r="B303">
        <v>120.17</v>
      </c>
      <c r="C303" t="s">
        <v>318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</row>
    <row r="304" spans="1:24" x14ac:dyDescent="0.2">
      <c r="A304">
        <v>84</v>
      </c>
      <c r="B304" t="s">
        <v>139</v>
      </c>
      <c r="C304" t="s">
        <v>164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</row>
    <row r="305" spans="1:24" x14ac:dyDescent="0.2">
      <c r="A305">
        <v>84</v>
      </c>
      <c r="B305">
        <v>120.14</v>
      </c>
      <c r="C305" t="s">
        <v>319</v>
      </c>
      <c r="D305">
        <v>0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2">
      <c r="A306">
        <v>87</v>
      </c>
      <c r="B306">
        <v>120.17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2">
      <c r="A307">
        <v>87</v>
      </c>
      <c r="B307">
        <v>120.14</v>
      </c>
      <c r="C307" t="s">
        <v>158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</row>
    <row r="308" spans="1:24" x14ac:dyDescent="0.2">
      <c r="A308">
        <v>87</v>
      </c>
      <c r="B308">
        <v>117.17</v>
      </c>
      <c r="C308" t="s">
        <v>320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</row>
    <row r="309" spans="1:24" x14ac:dyDescent="0.2">
      <c r="A309">
        <v>87</v>
      </c>
      <c r="B309" t="s">
        <v>139</v>
      </c>
      <c r="C309" t="s">
        <v>174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2">
      <c r="A310">
        <v>89</v>
      </c>
      <c r="B310" t="s">
        <v>139</v>
      </c>
      <c r="C310" t="s">
        <v>321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2">
      <c r="A311">
        <v>89</v>
      </c>
      <c r="B311">
        <v>117.17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</row>
    <row r="312" spans="1:24" x14ac:dyDescent="0.2">
      <c r="A312">
        <v>89</v>
      </c>
      <c r="B312">
        <v>120.14</v>
      </c>
      <c r="C312" t="s">
        <v>322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2">
      <c r="A313">
        <v>89</v>
      </c>
      <c r="B313">
        <v>120.17</v>
      </c>
      <c r="C313" t="s">
        <v>323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2">
      <c r="A314">
        <v>90</v>
      </c>
      <c r="B314">
        <v>120.14</v>
      </c>
      <c r="C314" t="s">
        <v>324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1</v>
      </c>
    </row>
    <row r="315" spans="1:24" x14ac:dyDescent="0.2">
      <c r="A315">
        <v>90</v>
      </c>
      <c r="B315" t="s">
        <v>139</v>
      </c>
      <c r="C315" t="s">
        <v>325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  <c r="W315">
        <v>0</v>
      </c>
      <c r="X315">
        <v>0</v>
      </c>
    </row>
    <row r="316" spans="1:24" x14ac:dyDescent="0.2">
      <c r="A316">
        <v>90</v>
      </c>
      <c r="B316">
        <v>120.17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2">
      <c r="A317">
        <v>90</v>
      </c>
      <c r="B317">
        <v>117.17</v>
      </c>
      <c r="C317" t="s">
        <v>326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 x14ac:dyDescent="0.2">
      <c r="A318">
        <v>93</v>
      </c>
      <c r="B318" t="s">
        <v>139</v>
      </c>
      <c r="C318" t="s">
        <v>221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 x14ac:dyDescent="0.2">
      <c r="A319">
        <v>93</v>
      </c>
      <c r="B319">
        <v>117.17</v>
      </c>
      <c r="C319" t="s">
        <v>327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</row>
    <row r="320" spans="1:24" x14ac:dyDescent="0.2">
      <c r="A320">
        <v>93</v>
      </c>
      <c r="B320">
        <v>120.14</v>
      </c>
      <c r="C320" t="s">
        <v>328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24" x14ac:dyDescent="0.2">
      <c r="A321">
        <v>93</v>
      </c>
      <c r="B321">
        <v>120.17</v>
      </c>
      <c r="C321" t="s">
        <v>329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1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 x14ac:dyDescent="0.2">
      <c r="A322">
        <v>94</v>
      </c>
      <c r="B322">
        <v>120.14</v>
      </c>
      <c r="C322" t="s">
        <v>319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</row>
    <row r="323" spans="1:24" x14ac:dyDescent="0.2">
      <c r="A323">
        <v>94</v>
      </c>
      <c r="B323" t="s">
        <v>139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</row>
    <row r="324" spans="1:24" x14ac:dyDescent="0.2">
      <c r="A324">
        <v>94</v>
      </c>
      <c r="B324">
        <v>120.17</v>
      </c>
      <c r="C324" t="s">
        <v>330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 x14ac:dyDescent="0.2">
      <c r="A325">
        <v>94</v>
      </c>
      <c r="B325">
        <v>117.17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</row>
    <row r="326" spans="1:24" x14ac:dyDescent="0.2">
      <c r="A326">
        <v>95</v>
      </c>
      <c r="B326">
        <v>120.17</v>
      </c>
      <c r="C326" t="s">
        <v>187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 x14ac:dyDescent="0.2">
      <c r="A327">
        <v>95</v>
      </c>
      <c r="B327">
        <v>120.14</v>
      </c>
      <c r="C327" t="s">
        <v>331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 x14ac:dyDescent="0.2">
      <c r="A328">
        <v>95</v>
      </c>
      <c r="B328">
        <v>117.17</v>
      </c>
      <c r="C328" t="s">
        <v>332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</row>
    <row r="329" spans="1:24" x14ac:dyDescent="0.2">
      <c r="A329">
        <v>95</v>
      </c>
      <c r="B329" t="s">
        <v>139</v>
      </c>
      <c r="C329" t="s">
        <v>333</v>
      </c>
      <c r="D329">
        <v>1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0</v>
      </c>
      <c r="W329">
        <v>0</v>
      </c>
      <c r="X329">
        <v>0</v>
      </c>
    </row>
    <row r="330" spans="1:24" x14ac:dyDescent="0.2">
      <c r="A330">
        <v>96</v>
      </c>
      <c r="B330">
        <v>117.17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</row>
    <row r="331" spans="1:24" x14ac:dyDescent="0.2">
      <c r="A331">
        <v>96</v>
      </c>
      <c r="B331">
        <v>120.17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 x14ac:dyDescent="0.2">
      <c r="A332">
        <v>96</v>
      </c>
      <c r="B332" t="s">
        <v>139</v>
      </c>
      <c r="C332" t="s">
        <v>334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 x14ac:dyDescent="0.2">
      <c r="A333">
        <v>96</v>
      </c>
      <c r="B333">
        <v>120.14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</row>
    <row r="334" spans="1:24" x14ac:dyDescent="0.2">
      <c r="A334">
        <v>97</v>
      </c>
      <c r="B334" t="s">
        <v>139</v>
      </c>
      <c r="C334" t="s">
        <v>335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</row>
    <row r="335" spans="1:24" x14ac:dyDescent="0.2">
      <c r="A335">
        <v>97</v>
      </c>
      <c r="B335">
        <v>117.17</v>
      </c>
      <c r="C335" t="s">
        <v>164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</row>
    <row r="336" spans="1:24" x14ac:dyDescent="0.2">
      <c r="A336">
        <v>97</v>
      </c>
      <c r="B336">
        <v>120.14</v>
      </c>
      <c r="C336" t="s">
        <v>164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 x14ac:dyDescent="0.2">
      <c r="A337">
        <v>97</v>
      </c>
      <c r="B337">
        <v>120.17</v>
      </c>
      <c r="C337" t="s">
        <v>164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</row>
    <row r="338" spans="1:24" x14ac:dyDescent="0.2">
      <c r="A338">
        <v>98</v>
      </c>
      <c r="B338">
        <v>120.14</v>
      </c>
      <c r="C338" t="s">
        <v>336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2">
      <c r="A339">
        <v>98</v>
      </c>
      <c r="B339" t="s">
        <v>139</v>
      </c>
      <c r="C339" t="s">
        <v>337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>
        <v>1</v>
      </c>
      <c r="T339">
        <v>0</v>
      </c>
      <c r="U339">
        <v>0</v>
      </c>
      <c r="V339">
        <v>1</v>
      </c>
      <c r="W339">
        <v>0</v>
      </c>
      <c r="X339">
        <v>0</v>
      </c>
    </row>
    <row r="340" spans="1:24" x14ac:dyDescent="0.2">
      <c r="A340">
        <v>98</v>
      </c>
      <c r="B340">
        <v>120.17</v>
      </c>
      <c r="C340" t="s">
        <v>338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 x14ac:dyDescent="0.2">
      <c r="A341">
        <v>98</v>
      </c>
      <c r="B341">
        <v>117.17</v>
      </c>
      <c r="C341" t="s">
        <v>339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</row>
    <row r="342" spans="1:24" x14ac:dyDescent="0.2">
      <c r="A342">
        <v>99</v>
      </c>
      <c r="B342">
        <v>120.17</v>
      </c>
      <c r="C342" t="s">
        <v>150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2">
      <c r="A343">
        <v>99</v>
      </c>
      <c r="B343">
        <v>120.14</v>
      </c>
      <c r="C343" t="s">
        <v>177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2">
      <c r="A344">
        <v>99</v>
      </c>
      <c r="B344">
        <v>117.17</v>
      </c>
      <c r="C344" t="s">
        <v>177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 x14ac:dyDescent="0.2">
      <c r="A345">
        <v>99</v>
      </c>
      <c r="B345" t="s">
        <v>139</v>
      </c>
      <c r="C345" t="s">
        <v>316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2">
      <c r="A346">
        <v>100</v>
      </c>
      <c r="B346">
        <v>117.17</v>
      </c>
      <c r="C346" t="s">
        <v>340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2">
      <c r="A347">
        <v>100</v>
      </c>
      <c r="B347">
        <v>120.17</v>
      </c>
      <c r="C347" t="s">
        <v>341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 x14ac:dyDescent="0.2">
      <c r="A348">
        <v>100</v>
      </c>
      <c r="B348" t="s">
        <v>139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</row>
    <row r="349" spans="1:24" x14ac:dyDescent="0.2">
      <c r="A349">
        <v>100</v>
      </c>
      <c r="B349">
        <v>120.14</v>
      </c>
      <c r="C349" t="s">
        <v>342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2">
      <c r="A350">
        <v>101</v>
      </c>
      <c r="B350" t="s">
        <v>139</v>
      </c>
      <c r="C350" t="s">
        <v>343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 x14ac:dyDescent="0.2">
      <c r="A351">
        <v>101</v>
      </c>
      <c r="B351">
        <v>117.17</v>
      </c>
      <c r="C351" t="s">
        <v>149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 x14ac:dyDescent="0.2">
      <c r="A352">
        <v>101</v>
      </c>
      <c r="B352">
        <v>120.14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</row>
    <row r="353" spans="1:24" x14ac:dyDescent="0.2">
      <c r="A353">
        <v>101</v>
      </c>
      <c r="B353">
        <v>120.17</v>
      </c>
      <c r="C353" t="s">
        <v>344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 x14ac:dyDescent="0.2">
      <c r="A354">
        <v>102</v>
      </c>
      <c r="B354">
        <v>120.14</v>
      </c>
      <c r="C354" t="s">
        <v>345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 x14ac:dyDescent="0.2">
      <c r="A355">
        <v>102</v>
      </c>
      <c r="B355" t="s">
        <v>139</v>
      </c>
      <c r="C355" t="s">
        <v>158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</row>
    <row r="356" spans="1:24" x14ac:dyDescent="0.2">
      <c r="A356">
        <v>102</v>
      </c>
      <c r="B356">
        <v>120.17</v>
      </c>
      <c r="C356" t="s">
        <v>268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 x14ac:dyDescent="0.2">
      <c r="A357">
        <v>102</v>
      </c>
      <c r="B357">
        <v>117.17</v>
      </c>
      <c r="C357" t="s">
        <v>193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 x14ac:dyDescent="0.2">
      <c r="A358">
        <v>103</v>
      </c>
      <c r="B358">
        <v>120.17</v>
      </c>
      <c r="C358" t="s">
        <v>164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 x14ac:dyDescent="0.2">
      <c r="A359">
        <v>103</v>
      </c>
      <c r="B359">
        <v>120.14</v>
      </c>
      <c r="C359" t="s">
        <v>346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 x14ac:dyDescent="0.2">
      <c r="A360">
        <v>103</v>
      </c>
      <c r="B360">
        <v>117.17</v>
      </c>
      <c r="C360" t="s">
        <v>224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</row>
    <row r="361" spans="1:24" x14ac:dyDescent="0.2">
      <c r="A361">
        <v>103</v>
      </c>
      <c r="B361" t="s">
        <v>139</v>
      </c>
      <c r="C361" t="s">
        <v>347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</row>
    <row r="362" spans="1:24" x14ac:dyDescent="0.2">
      <c r="A362">
        <v>104</v>
      </c>
      <c r="B362">
        <v>117.17</v>
      </c>
      <c r="C362" t="s">
        <v>348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1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</row>
    <row r="363" spans="1:24" x14ac:dyDescent="0.2">
      <c r="A363">
        <v>104</v>
      </c>
      <c r="B363">
        <v>120.17</v>
      </c>
      <c r="C363" t="s">
        <v>349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 x14ac:dyDescent="0.2">
      <c r="A364">
        <v>104</v>
      </c>
      <c r="B364" t="s">
        <v>139</v>
      </c>
      <c r="C364" t="s">
        <v>350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1</v>
      </c>
    </row>
    <row r="365" spans="1:24" x14ac:dyDescent="0.2">
      <c r="A365">
        <v>104</v>
      </c>
      <c r="B365">
        <v>120.14</v>
      </c>
      <c r="C365" t="s">
        <v>351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 x14ac:dyDescent="0.2">
      <c r="A366">
        <v>105</v>
      </c>
      <c r="B366" t="s">
        <v>139</v>
      </c>
      <c r="C366" t="s">
        <v>352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</row>
    <row r="367" spans="1:24" x14ac:dyDescent="0.2">
      <c r="A367">
        <v>105</v>
      </c>
      <c r="B367">
        <v>117.17</v>
      </c>
      <c r="C367" t="s">
        <v>174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</row>
    <row r="368" spans="1:24" x14ac:dyDescent="0.2">
      <c r="A368">
        <v>105</v>
      </c>
      <c r="B368">
        <v>120.14</v>
      </c>
      <c r="C368" t="s">
        <v>293</v>
      </c>
      <c r="D368">
        <v>0</v>
      </c>
      <c r="E368">
        <v>0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 x14ac:dyDescent="0.2">
      <c r="A369">
        <v>105</v>
      </c>
      <c r="B369">
        <v>120.17</v>
      </c>
      <c r="C369" t="s">
        <v>234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1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</row>
    <row r="370" spans="1:24" x14ac:dyDescent="0.2">
      <c r="A370">
        <v>106</v>
      </c>
      <c r="B370">
        <v>120.14</v>
      </c>
      <c r="C370" t="s">
        <v>264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</row>
    <row r="371" spans="1:24" x14ac:dyDescent="0.2">
      <c r="A371">
        <v>106</v>
      </c>
      <c r="B371" t="s">
        <v>139</v>
      </c>
      <c r="C371" t="s">
        <v>164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2">
      <c r="A372">
        <v>106</v>
      </c>
      <c r="B372">
        <v>120.17</v>
      </c>
      <c r="C372" t="s">
        <v>353</v>
      </c>
      <c r="D372">
        <v>0</v>
      </c>
      <c r="E372">
        <v>0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2">
      <c r="A373">
        <v>106</v>
      </c>
      <c r="B373">
        <v>117.17</v>
      </c>
      <c r="C373" t="s">
        <v>193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</row>
    <row r="374" spans="1:24" x14ac:dyDescent="0.2">
      <c r="A374">
        <v>107</v>
      </c>
      <c r="B374">
        <v>120.17</v>
      </c>
      <c r="C374" t="s">
        <v>164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 x14ac:dyDescent="0.2">
      <c r="A375">
        <v>107</v>
      </c>
      <c r="B375">
        <v>120.14</v>
      </c>
      <c r="C375" t="s">
        <v>164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2">
      <c r="A376">
        <v>107</v>
      </c>
      <c r="B376">
        <v>117.17</v>
      </c>
      <c r="C376" t="s">
        <v>164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2">
      <c r="A377">
        <v>107</v>
      </c>
      <c r="B377" t="s">
        <v>139</v>
      </c>
      <c r="C377" t="s">
        <v>164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</row>
    <row r="378" spans="1:24" x14ac:dyDescent="0.2">
      <c r="A378">
        <v>108</v>
      </c>
      <c r="B378">
        <v>117.17</v>
      </c>
      <c r="C378" t="s">
        <v>354</v>
      </c>
      <c r="D378">
        <v>0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2">
      <c r="A379">
        <v>108</v>
      </c>
      <c r="B379">
        <v>120.17</v>
      </c>
      <c r="C379" t="s">
        <v>193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2">
      <c r="A380">
        <v>108</v>
      </c>
      <c r="B380" t="s">
        <v>139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 x14ac:dyDescent="0.2">
      <c r="A381">
        <v>108</v>
      </c>
      <c r="B381">
        <v>120.14</v>
      </c>
      <c r="C381" t="s">
        <v>319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 x14ac:dyDescent="0.2">
      <c r="A382">
        <v>109</v>
      </c>
      <c r="B382" t="s">
        <v>139</v>
      </c>
      <c r="C382" t="s">
        <v>355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2">
      <c r="A383">
        <v>109</v>
      </c>
      <c r="B383">
        <v>117.17</v>
      </c>
      <c r="C383" t="s">
        <v>356</v>
      </c>
      <c r="D383">
        <v>1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0</v>
      </c>
      <c r="W383">
        <v>0</v>
      </c>
      <c r="X383">
        <v>0</v>
      </c>
    </row>
    <row r="384" spans="1:24" x14ac:dyDescent="0.2">
      <c r="A384">
        <v>109</v>
      </c>
      <c r="B384">
        <v>120.14</v>
      </c>
      <c r="C384" t="s">
        <v>357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</row>
    <row r="385" spans="1:24" x14ac:dyDescent="0.2">
      <c r="A385">
        <v>109</v>
      </c>
      <c r="B385">
        <v>120.17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 x14ac:dyDescent="0.2">
      <c r="A386">
        <v>110</v>
      </c>
      <c r="B386">
        <v>120.14</v>
      </c>
      <c r="C386" t="s">
        <v>164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24" x14ac:dyDescent="0.2">
      <c r="A387">
        <v>110</v>
      </c>
      <c r="B387" t="s">
        <v>139</v>
      </c>
      <c r="C387" t="s">
        <v>164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</row>
    <row r="388" spans="1:24" x14ac:dyDescent="0.2">
      <c r="A388">
        <v>110</v>
      </c>
      <c r="B388">
        <v>120.17</v>
      </c>
      <c r="C388" t="s">
        <v>148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 x14ac:dyDescent="0.2">
      <c r="A389">
        <v>110</v>
      </c>
      <c r="B389">
        <v>117.17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</row>
    <row r="390" spans="1:24" x14ac:dyDescent="0.2">
      <c r="A390">
        <v>111</v>
      </c>
      <c r="B390">
        <v>120.17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</row>
    <row r="391" spans="1:24" x14ac:dyDescent="0.2">
      <c r="A391">
        <v>111</v>
      </c>
      <c r="B391">
        <v>120.14</v>
      </c>
      <c r="C391" t="s">
        <v>293</v>
      </c>
      <c r="D391">
        <v>0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</row>
    <row r="392" spans="1:24" x14ac:dyDescent="0.2">
      <c r="A392">
        <v>111</v>
      </c>
      <c r="B392">
        <v>117.17</v>
      </c>
      <c r="C392" t="s">
        <v>358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</row>
    <row r="393" spans="1:24" x14ac:dyDescent="0.2">
      <c r="A393">
        <v>111</v>
      </c>
      <c r="B393" t="s">
        <v>139</v>
      </c>
      <c r="C393" t="s">
        <v>293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</row>
    <row r="394" spans="1:24" x14ac:dyDescent="0.2">
      <c r="A394">
        <v>112</v>
      </c>
      <c r="B394">
        <v>117.17</v>
      </c>
      <c r="C394" t="s">
        <v>359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1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</row>
    <row r="395" spans="1:24" x14ac:dyDescent="0.2">
      <c r="A395">
        <v>112</v>
      </c>
      <c r="B395">
        <v>120.17</v>
      </c>
      <c r="C395" t="s">
        <v>360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</row>
    <row r="396" spans="1:24" x14ac:dyDescent="0.2">
      <c r="A396">
        <v>112</v>
      </c>
      <c r="B396" t="s">
        <v>139</v>
      </c>
      <c r="C396" t="s">
        <v>361</v>
      </c>
      <c r="D396">
        <v>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</row>
    <row r="397" spans="1:24" x14ac:dyDescent="0.2">
      <c r="A397">
        <v>112</v>
      </c>
      <c r="B397">
        <v>120.14</v>
      </c>
      <c r="C397" t="s">
        <v>362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</row>
    <row r="398" spans="1:24" x14ac:dyDescent="0.2">
      <c r="A398">
        <v>113</v>
      </c>
      <c r="B398" t="s">
        <v>139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</row>
    <row r="399" spans="1:24" x14ac:dyDescent="0.2">
      <c r="A399">
        <v>113</v>
      </c>
      <c r="B399">
        <v>117.17</v>
      </c>
      <c r="C399" t="s">
        <v>335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</row>
    <row r="400" spans="1:24" x14ac:dyDescent="0.2">
      <c r="A400">
        <v>113</v>
      </c>
      <c r="B400">
        <v>120.14</v>
      </c>
      <c r="C400" t="s">
        <v>363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</row>
    <row r="401" spans="1:24" x14ac:dyDescent="0.2">
      <c r="A401">
        <v>113</v>
      </c>
      <c r="B401">
        <v>120.17</v>
      </c>
      <c r="C401" t="s">
        <v>364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</row>
    <row r="402" spans="1:24" x14ac:dyDescent="0.2">
      <c r="A402">
        <v>114</v>
      </c>
      <c r="B402">
        <v>120.14</v>
      </c>
      <c r="C402" t="s">
        <v>365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</row>
    <row r="403" spans="1:24" x14ac:dyDescent="0.2">
      <c r="A403">
        <v>114</v>
      </c>
      <c r="B403" t="s">
        <v>139</v>
      </c>
      <c r="C403" t="s">
        <v>366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</row>
    <row r="404" spans="1:24" x14ac:dyDescent="0.2">
      <c r="A404">
        <v>114</v>
      </c>
      <c r="B404">
        <v>120.17</v>
      </c>
      <c r="C404" t="s">
        <v>367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</row>
    <row r="405" spans="1:24" x14ac:dyDescent="0.2">
      <c r="A405">
        <v>114</v>
      </c>
      <c r="B405">
        <v>117.17</v>
      </c>
      <c r="C405" t="s">
        <v>368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</row>
    <row r="406" spans="1:24" x14ac:dyDescent="0.2">
      <c r="A406">
        <v>115</v>
      </c>
      <c r="B406">
        <v>120.17</v>
      </c>
      <c r="C406" t="s">
        <v>369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 x14ac:dyDescent="0.2">
      <c r="A407">
        <v>115</v>
      </c>
      <c r="B407">
        <v>120.14</v>
      </c>
      <c r="C407" t="s">
        <v>370</v>
      </c>
      <c r="D407">
        <v>0</v>
      </c>
      <c r="E407">
        <v>0</v>
      </c>
      <c r="F407">
        <v>0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 x14ac:dyDescent="0.2">
      <c r="A408">
        <v>115</v>
      </c>
      <c r="B408">
        <v>117.17</v>
      </c>
      <c r="C408" t="s">
        <v>371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</row>
    <row r="409" spans="1:24" x14ac:dyDescent="0.2">
      <c r="A409">
        <v>115</v>
      </c>
      <c r="B409" t="s">
        <v>139</v>
      </c>
      <c r="C409" t="s">
        <v>372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 x14ac:dyDescent="0.2">
      <c r="A410">
        <v>116</v>
      </c>
      <c r="B410">
        <v>117.17</v>
      </c>
      <c r="C410" t="s">
        <v>373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</row>
    <row r="411" spans="1:24" x14ac:dyDescent="0.2">
      <c r="A411">
        <v>116</v>
      </c>
      <c r="B411">
        <v>120.17</v>
      </c>
      <c r="C411" t="s">
        <v>374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</v>
      </c>
      <c r="W411">
        <v>0</v>
      </c>
      <c r="X411">
        <v>0</v>
      </c>
    </row>
    <row r="412" spans="1:24" x14ac:dyDescent="0.2">
      <c r="A412">
        <v>116</v>
      </c>
      <c r="B412" t="s">
        <v>139</v>
      </c>
      <c r="C412" t="s">
        <v>375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1</v>
      </c>
      <c r="W412">
        <v>0</v>
      </c>
      <c r="X412">
        <v>0</v>
      </c>
    </row>
    <row r="413" spans="1:24" x14ac:dyDescent="0.2">
      <c r="A413">
        <v>116</v>
      </c>
      <c r="B413">
        <v>120.14</v>
      </c>
      <c r="C413" t="s">
        <v>376</v>
      </c>
      <c r="D413">
        <v>0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</row>
    <row r="414" spans="1:24" x14ac:dyDescent="0.2">
      <c r="A414">
        <v>117</v>
      </c>
      <c r="B414" t="s">
        <v>139</v>
      </c>
      <c r="C414" t="s">
        <v>377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1</v>
      </c>
    </row>
    <row r="415" spans="1:24" x14ac:dyDescent="0.2">
      <c r="A415">
        <v>117</v>
      </c>
      <c r="B415">
        <v>117.17</v>
      </c>
      <c r="C415" t="s">
        <v>378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</row>
    <row r="416" spans="1:24" x14ac:dyDescent="0.2">
      <c r="A416">
        <v>117</v>
      </c>
      <c r="B416">
        <v>120.14</v>
      </c>
      <c r="C416" t="s">
        <v>379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 x14ac:dyDescent="0.2">
      <c r="A417">
        <v>117</v>
      </c>
      <c r="B417">
        <v>120.17</v>
      </c>
      <c r="C417" t="s">
        <v>380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</row>
    <row r="418" spans="1:24" x14ac:dyDescent="0.2">
      <c r="A418">
        <v>118</v>
      </c>
      <c r="B418">
        <v>120.14</v>
      </c>
      <c r="C418" t="s">
        <v>164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</row>
    <row r="419" spans="1:24" x14ac:dyDescent="0.2">
      <c r="A419">
        <v>118</v>
      </c>
      <c r="B419" t="s">
        <v>139</v>
      </c>
      <c r="C419" t="s">
        <v>319</v>
      </c>
      <c r="D419">
        <v>0</v>
      </c>
      <c r="E419">
        <v>0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 x14ac:dyDescent="0.2">
      <c r="A420">
        <v>118</v>
      </c>
      <c r="B420">
        <v>120.17</v>
      </c>
      <c r="C420" t="s">
        <v>164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</row>
    <row r="421" spans="1:24" x14ac:dyDescent="0.2">
      <c r="A421">
        <v>118</v>
      </c>
      <c r="B421">
        <v>117.17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 x14ac:dyDescent="0.2">
      <c r="A422">
        <v>119</v>
      </c>
      <c r="B422">
        <v>120.17</v>
      </c>
      <c r="C422" t="s">
        <v>381</v>
      </c>
      <c r="D422">
        <v>0</v>
      </c>
      <c r="E422">
        <v>0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</row>
    <row r="423" spans="1:24" x14ac:dyDescent="0.2">
      <c r="A423">
        <v>119</v>
      </c>
      <c r="B423">
        <v>120.14</v>
      </c>
      <c r="C423" t="s">
        <v>382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</row>
    <row r="424" spans="1:24" x14ac:dyDescent="0.2">
      <c r="A424">
        <v>119</v>
      </c>
      <c r="B424">
        <v>117.17</v>
      </c>
      <c r="C424" t="s">
        <v>383</v>
      </c>
      <c r="D424">
        <v>0</v>
      </c>
      <c r="E424">
        <v>0</v>
      </c>
      <c r="F424">
        <v>0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</row>
    <row r="425" spans="1:24" x14ac:dyDescent="0.2">
      <c r="A425">
        <v>119</v>
      </c>
      <c r="B425" t="s">
        <v>139</v>
      </c>
      <c r="C425" t="s">
        <v>384</v>
      </c>
      <c r="D425">
        <v>0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</row>
    <row r="426" spans="1:24" x14ac:dyDescent="0.2">
      <c r="A426">
        <v>120</v>
      </c>
      <c r="B426">
        <v>117.17</v>
      </c>
      <c r="C426" t="s">
        <v>385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</row>
    <row r="427" spans="1:24" x14ac:dyDescent="0.2">
      <c r="A427">
        <v>120</v>
      </c>
      <c r="B427">
        <v>120.17</v>
      </c>
      <c r="C427" t="s">
        <v>158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</row>
    <row r="428" spans="1:24" x14ac:dyDescent="0.2">
      <c r="A428">
        <v>120</v>
      </c>
      <c r="B428" t="s">
        <v>139</v>
      </c>
      <c r="C428" t="s">
        <v>386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1</v>
      </c>
      <c r="X428">
        <v>0</v>
      </c>
    </row>
    <row r="429" spans="1:24" x14ac:dyDescent="0.2">
      <c r="A429">
        <v>120</v>
      </c>
      <c r="B429">
        <v>120.14</v>
      </c>
      <c r="C429" t="s">
        <v>387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1</v>
      </c>
      <c r="V429">
        <v>0</v>
      </c>
      <c r="W429">
        <v>0</v>
      </c>
      <c r="X429">
        <v>0</v>
      </c>
    </row>
    <row r="430" spans="1:24" x14ac:dyDescent="0.2">
      <c r="A430">
        <v>121</v>
      </c>
      <c r="B430" t="s">
        <v>139</v>
      </c>
      <c r="C430" t="s">
        <v>190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 x14ac:dyDescent="0.2">
      <c r="A431">
        <v>121</v>
      </c>
      <c r="B431">
        <v>117.17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</row>
    <row r="432" spans="1:24" x14ac:dyDescent="0.2">
      <c r="A432">
        <v>121</v>
      </c>
      <c r="B432">
        <v>120.14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</row>
    <row r="433" spans="1:24" x14ac:dyDescent="0.2">
      <c r="A433">
        <v>121</v>
      </c>
      <c r="B433">
        <v>120.17</v>
      </c>
      <c r="C433" t="s">
        <v>190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</row>
    <row r="434" spans="1:24" x14ac:dyDescent="0.2">
      <c r="A434">
        <v>122</v>
      </c>
      <c r="B434">
        <v>120.14</v>
      </c>
      <c r="C434" t="s">
        <v>388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 x14ac:dyDescent="0.2">
      <c r="A435">
        <v>122</v>
      </c>
      <c r="B435" t="s">
        <v>139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 x14ac:dyDescent="0.2">
      <c r="A436">
        <v>122</v>
      </c>
      <c r="B436">
        <v>120.17</v>
      </c>
      <c r="C436" t="s">
        <v>190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 x14ac:dyDescent="0.2">
      <c r="A437">
        <v>122</v>
      </c>
      <c r="B437">
        <v>117.17</v>
      </c>
      <c r="C437" t="s">
        <v>389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1</v>
      </c>
    </row>
    <row r="438" spans="1:24" x14ac:dyDescent="0.2">
      <c r="A438">
        <v>123</v>
      </c>
      <c r="B438">
        <v>120.17</v>
      </c>
      <c r="C438" t="s">
        <v>390</v>
      </c>
      <c r="D438">
        <v>0</v>
      </c>
      <c r="E438">
        <v>0</v>
      </c>
      <c r="F438">
        <v>0</v>
      </c>
      <c r="G438">
        <v>1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0</v>
      </c>
      <c r="X438">
        <v>0</v>
      </c>
    </row>
    <row r="439" spans="1:24" x14ac:dyDescent="0.2">
      <c r="A439">
        <v>123</v>
      </c>
      <c r="B439">
        <v>120.14</v>
      </c>
      <c r="C439" t="s">
        <v>391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1</v>
      </c>
      <c r="V439">
        <v>0</v>
      </c>
      <c r="W439">
        <v>0</v>
      </c>
      <c r="X439">
        <v>0</v>
      </c>
    </row>
    <row r="440" spans="1:24" x14ac:dyDescent="0.2">
      <c r="A440">
        <v>123</v>
      </c>
      <c r="B440">
        <v>117.17</v>
      </c>
      <c r="C440" t="s">
        <v>392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1</v>
      </c>
      <c r="M440">
        <v>1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</row>
    <row r="441" spans="1:24" x14ac:dyDescent="0.2">
      <c r="A441">
        <v>123</v>
      </c>
      <c r="B441" t="s">
        <v>139</v>
      </c>
      <c r="C441" t="s">
        <v>393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</row>
    <row r="442" spans="1:24" x14ac:dyDescent="0.2">
      <c r="A442">
        <v>124</v>
      </c>
      <c r="B442">
        <v>117.17</v>
      </c>
      <c r="C442" t="s">
        <v>164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 x14ac:dyDescent="0.2">
      <c r="A443">
        <v>124</v>
      </c>
      <c r="B443">
        <v>120.17</v>
      </c>
      <c r="C443" t="s">
        <v>163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</row>
    <row r="444" spans="1:24" x14ac:dyDescent="0.2">
      <c r="A444">
        <v>124</v>
      </c>
      <c r="B444" t="s">
        <v>139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 x14ac:dyDescent="0.2">
      <c r="A445">
        <v>124</v>
      </c>
      <c r="B445">
        <v>120.14</v>
      </c>
      <c r="C445" t="s">
        <v>164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</row>
    <row r="446" spans="1:24" x14ac:dyDescent="0.2">
      <c r="A446">
        <v>125</v>
      </c>
      <c r="B446" t="s">
        <v>139</v>
      </c>
      <c r="C446" t="s">
        <v>394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1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 x14ac:dyDescent="0.2">
      <c r="A447">
        <v>125</v>
      </c>
      <c r="B447">
        <v>117.17</v>
      </c>
      <c r="C447" t="s">
        <v>395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</row>
    <row r="448" spans="1:24" x14ac:dyDescent="0.2">
      <c r="A448">
        <v>125</v>
      </c>
      <c r="B448">
        <v>120.14</v>
      </c>
      <c r="C448" t="s">
        <v>396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</row>
    <row r="449" spans="1:24" x14ac:dyDescent="0.2">
      <c r="A449">
        <v>125</v>
      </c>
      <c r="B449">
        <v>120.17</v>
      </c>
      <c r="C449" t="s">
        <v>397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</row>
    <row r="450" spans="1:24" x14ac:dyDescent="0.2">
      <c r="A450">
        <v>126</v>
      </c>
      <c r="B450">
        <v>120.14</v>
      </c>
      <c r="C450" t="s">
        <v>398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</row>
    <row r="451" spans="1:24" x14ac:dyDescent="0.2">
      <c r="A451">
        <v>126</v>
      </c>
      <c r="B451" t="s">
        <v>139</v>
      </c>
      <c r="C451" t="s">
        <v>399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 x14ac:dyDescent="0.2">
      <c r="A452">
        <v>126</v>
      </c>
      <c r="B452">
        <v>120.17</v>
      </c>
      <c r="C452" t="s">
        <v>400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</row>
    <row r="453" spans="1:24" x14ac:dyDescent="0.2">
      <c r="A453">
        <v>126</v>
      </c>
      <c r="B453">
        <v>117.17</v>
      </c>
      <c r="C453" t="s">
        <v>401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</row>
    <row r="454" spans="1:24" x14ac:dyDescent="0.2">
      <c r="A454">
        <v>127</v>
      </c>
      <c r="B454">
        <v>120.17</v>
      </c>
      <c r="C454" t="s">
        <v>402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</row>
    <row r="455" spans="1:24" x14ac:dyDescent="0.2">
      <c r="A455">
        <v>127</v>
      </c>
      <c r="B455">
        <v>120.14</v>
      </c>
      <c r="C455" t="s">
        <v>403</v>
      </c>
      <c r="D455">
        <v>1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0</v>
      </c>
      <c r="V455">
        <v>0</v>
      </c>
      <c r="W455">
        <v>0</v>
      </c>
      <c r="X455">
        <v>0</v>
      </c>
    </row>
    <row r="456" spans="1:24" x14ac:dyDescent="0.2">
      <c r="A456">
        <v>127</v>
      </c>
      <c r="B456">
        <v>117.17</v>
      </c>
      <c r="C456" t="s">
        <v>404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</row>
    <row r="457" spans="1:24" x14ac:dyDescent="0.2">
      <c r="A457">
        <v>127</v>
      </c>
      <c r="B457" t="s">
        <v>139</v>
      </c>
      <c r="C457" t="s">
        <v>405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</row>
    <row r="458" spans="1:24" x14ac:dyDescent="0.2">
      <c r="A458">
        <v>128</v>
      </c>
      <c r="B458">
        <v>117.17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</row>
    <row r="459" spans="1:24" x14ac:dyDescent="0.2">
      <c r="A459">
        <v>128</v>
      </c>
      <c r="B459">
        <v>120.17</v>
      </c>
      <c r="C459" t="s">
        <v>164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</row>
    <row r="460" spans="1:24" x14ac:dyDescent="0.2">
      <c r="A460">
        <v>128</v>
      </c>
      <c r="B460" t="s">
        <v>139</v>
      </c>
      <c r="C460" t="s">
        <v>148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1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 x14ac:dyDescent="0.2">
      <c r="A461">
        <v>128</v>
      </c>
      <c r="B461">
        <v>120.14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 x14ac:dyDescent="0.2">
      <c r="A462">
        <v>129</v>
      </c>
      <c r="B462" t="s">
        <v>139</v>
      </c>
      <c r="C462" t="s">
        <v>164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</row>
    <row r="463" spans="1:24" x14ac:dyDescent="0.2">
      <c r="A463">
        <v>129</v>
      </c>
      <c r="B463">
        <v>117.17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</row>
    <row r="464" spans="1:24" x14ac:dyDescent="0.2">
      <c r="A464">
        <v>129</v>
      </c>
      <c r="B464">
        <v>120.14</v>
      </c>
      <c r="C464" t="s">
        <v>406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</row>
    <row r="465" spans="1:24" x14ac:dyDescent="0.2">
      <c r="A465">
        <v>129</v>
      </c>
      <c r="B465">
        <v>120.17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</row>
    <row r="466" spans="1:24" x14ac:dyDescent="0.2">
      <c r="A466">
        <v>130</v>
      </c>
      <c r="B466">
        <v>120.14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</row>
    <row r="467" spans="1:24" x14ac:dyDescent="0.2">
      <c r="A467">
        <v>130</v>
      </c>
      <c r="B467" t="s">
        <v>139</v>
      </c>
      <c r="C467" t="s">
        <v>164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</row>
    <row r="468" spans="1:24" x14ac:dyDescent="0.2">
      <c r="A468">
        <v>130</v>
      </c>
      <c r="B468">
        <v>120.17</v>
      </c>
      <c r="C468" t="s">
        <v>149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</row>
    <row r="469" spans="1:24" x14ac:dyDescent="0.2">
      <c r="A469">
        <v>130</v>
      </c>
      <c r="B469">
        <v>117.17</v>
      </c>
      <c r="C469" t="s">
        <v>265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</row>
    <row r="470" spans="1:24" x14ac:dyDescent="0.2">
      <c r="A470">
        <v>131</v>
      </c>
      <c r="B470">
        <v>120.17</v>
      </c>
      <c r="C470" t="s">
        <v>407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</row>
    <row r="471" spans="1:24" x14ac:dyDescent="0.2">
      <c r="A471">
        <v>131</v>
      </c>
      <c r="B471">
        <v>120.14</v>
      </c>
      <c r="C471" t="s">
        <v>164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</row>
    <row r="472" spans="1:24" x14ac:dyDescent="0.2">
      <c r="A472">
        <v>131</v>
      </c>
      <c r="B472">
        <v>117.17</v>
      </c>
      <c r="C472" t="s">
        <v>295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1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</row>
    <row r="473" spans="1:24" x14ac:dyDescent="0.2">
      <c r="A473">
        <v>131</v>
      </c>
      <c r="B473" t="s">
        <v>139</v>
      </c>
      <c r="C473" t="s">
        <v>158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 x14ac:dyDescent="0.2">
      <c r="A474">
        <v>132</v>
      </c>
      <c r="B474">
        <v>117.17</v>
      </c>
      <c r="C474" t="s">
        <v>164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</row>
    <row r="475" spans="1:24" x14ac:dyDescent="0.2">
      <c r="A475">
        <v>132</v>
      </c>
      <c r="B475">
        <v>120.17</v>
      </c>
      <c r="C475" t="s">
        <v>164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</row>
    <row r="476" spans="1:24" x14ac:dyDescent="0.2">
      <c r="A476">
        <v>132</v>
      </c>
      <c r="B476" t="s">
        <v>139</v>
      </c>
      <c r="C476" t="s">
        <v>164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</row>
    <row r="477" spans="1:24" x14ac:dyDescent="0.2">
      <c r="A477">
        <v>132</v>
      </c>
      <c r="B477">
        <v>120.14</v>
      </c>
      <c r="C477" t="s">
        <v>164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 x14ac:dyDescent="0.2">
      <c r="A478">
        <v>133</v>
      </c>
      <c r="B478" t="s">
        <v>139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</row>
    <row r="479" spans="1:24" x14ac:dyDescent="0.2">
      <c r="A479">
        <v>133</v>
      </c>
      <c r="B479">
        <v>117.17</v>
      </c>
      <c r="C479" t="s">
        <v>158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</row>
    <row r="480" spans="1:24" x14ac:dyDescent="0.2">
      <c r="A480">
        <v>133</v>
      </c>
      <c r="B480">
        <v>120.14</v>
      </c>
      <c r="C480" t="s">
        <v>408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</v>
      </c>
    </row>
    <row r="481" spans="1:24" x14ac:dyDescent="0.2">
      <c r="A481">
        <v>133</v>
      </c>
      <c r="B481">
        <v>120.17</v>
      </c>
      <c r="C481" t="s">
        <v>372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</row>
    <row r="482" spans="1:24" x14ac:dyDescent="0.2">
      <c r="A482">
        <v>134</v>
      </c>
      <c r="B482">
        <v>120.14</v>
      </c>
      <c r="C482" t="s">
        <v>164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</row>
    <row r="483" spans="1:24" x14ac:dyDescent="0.2">
      <c r="A483">
        <v>134</v>
      </c>
      <c r="B483" t="s">
        <v>139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</row>
    <row r="484" spans="1:24" x14ac:dyDescent="0.2">
      <c r="A484">
        <v>134</v>
      </c>
      <c r="B484">
        <v>120.17</v>
      </c>
      <c r="C484" t="s">
        <v>409</v>
      </c>
      <c r="D484">
        <v>0</v>
      </c>
      <c r="E484">
        <v>0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 x14ac:dyDescent="0.2">
      <c r="A485">
        <v>134</v>
      </c>
      <c r="B485">
        <v>117.17</v>
      </c>
      <c r="C485" t="s">
        <v>149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</row>
    <row r="486" spans="1:24" x14ac:dyDescent="0.2">
      <c r="A486">
        <v>135</v>
      </c>
      <c r="B486">
        <v>120.17</v>
      </c>
      <c r="C486" t="s">
        <v>164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</row>
    <row r="487" spans="1:24" x14ac:dyDescent="0.2">
      <c r="A487">
        <v>135</v>
      </c>
      <c r="B487">
        <v>120.14</v>
      </c>
      <c r="C487" t="s">
        <v>148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</row>
    <row r="488" spans="1:24" x14ac:dyDescent="0.2">
      <c r="A488">
        <v>135</v>
      </c>
      <c r="B488">
        <v>117.17</v>
      </c>
      <c r="C488" t="s">
        <v>224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</row>
    <row r="489" spans="1:24" x14ac:dyDescent="0.2">
      <c r="A489">
        <v>135</v>
      </c>
      <c r="B489" t="s">
        <v>139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</row>
    <row r="490" spans="1:24" x14ac:dyDescent="0.2">
      <c r="A490">
        <v>136</v>
      </c>
      <c r="B490">
        <v>117.17</v>
      </c>
      <c r="C490" t="s">
        <v>410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</row>
    <row r="491" spans="1:24" x14ac:dyDescent="0.2">
      <c r="A491">
        <v>136</v>
      </c>
      <c r="B491">
        <v>120.17</v>
      </c>
      <c r="C491" t="s">
        <v>411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</row>
    <row r="492" spans="1:24" x14ac:dyDescent="0.2">
      <c r="A492">
        <v>136</v>
      </c>
      <c r="B492" t="s">
        <v>139</v>
      </c>
      <c r="C492" t="s">
        <v>224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</row>
    <row r="493" spans="1:24" x14ac:dyDescent="0.2">
      <c r="A493">
        <v>136</v>
      </c>
      <c r="B493">
        <v>120.14</v>
      </c>
      <c r="C493" t="s">
        <v>412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1</v>
      </c>
    </row>
    <row r="494" spans="1:24" x14ac:dyDescent="0.2">
      <c r="A494">
        <v>137</v>
      </c>
      <c r="B494" t="s">
        <v>139</v>
      </c>
      <c r="C494" t="s">
        <v>413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1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1</v>
      </c>
    </row>
    <row r="495" spans="1:24" x14ac:dyDescent="0.2">
      <c r="A495">
        <v>137</v>
      </c>
      <c r="B495">
        <v>117.17</v>
      </c>
      <c r="C495" t="s">
        <v>346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 x14ac:dyDescent="0.2">
      <c r="A496">
        <v>137</v>
      </c>
      <c r="B496">
        <v>120.14</v>
      </c>
      <c r="C496" t="s">
        <v>414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0</v>
      </c>
      <c r="W496">
        <v>0</v>
      </c>
      <c r="X496">
        <v>0</v>
      </c>
    </row>
    <row r="497" spans="1:24" x14ac:dyDescent="0.2">
      <c r="A497">
        <v>137</v>
      </c>
      <c r="B497">
        <v>120.17</v>
      </c>
      <c r="C497" t="s">
        <v>174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</row>
    <row r="498" spans="1:24" x14ac:dyDescent="0.2">
      <c r="A498">
        <v>138</v>
      </c>
      <c r="B498">
        <v>120.14</v>
      </c>
      <c r="C498" t="s">
        <v>415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</row>
    <row r="499" spans="1:24" x14ac:dyDescent="0.2">
      <c r="A499">
        <v>138</v>
      </c>
      <c r="B499" t="s">
        <v>139</v>
      </c>
      <c r="C499" t="s">
        <v>416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 x14ac:dyDescent="0.2">
      <c r="A500">
        <v>138</v>
      </c>
      <c r="B500">
        <v>120.17</v>
      </c>
      <c r="C500" t="s">
        <v>417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1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0</v>
      </c>
      <c r="W500">
        <v>0</v>
      </c>
      <c r="X500">
        <v>0</v>
      </c>
    </row>
    <row r="501" spans="1:24" x14ac:dyDescent="0.2">
      <c r="A501">
        <v>138</v>
      </c>
      <c r="B501">
        <v>117.17</v>
      </c>
      <c r="C501" t="s">
        <v>418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</row>
    <row r="502" spans="1:24" x14ac:dyDescent="0.2">
      <c r="A502">
        <v>139</v>
      </c>
      <c r="B502">
        <v>120.17</v>
      </c>
      <c r="C502" t="s">
        <v>335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</row>
    <row r="503" spans="1:24" x14ac:dyDescent="0.2">
      <c r="A503">
        <v>139</v>
      </c>
      <c r="B503">
        <v>120.14</v>
      </c>
      <c r="C503" t="s">
        <v>419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 x14ac:dyDescent="0.2">
      <c r="A504">
        <v>139</v>
      </c>
      <c r="B504">
        <v>117.17</v>
      </c>
      <c r="C504" t="s">
        <v>420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1</v>
      </c>
      <c r="K504">
        <v>1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 x14ac:dyDescent="0.2">
      <c r="A505">
        <v>139</v>
      </c>
      <c r="B505" t="s">
        <v>139</v>
      </c>
      <c r="C505" t="s">
        <v>421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</row>
    <row r="506" spans="1:24" x14ac:dyDescent="0.2">
      <c r="A506">
        <v>140</v>
      </c>
      <c r="B506">
        <v>117.17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 x14ac:dyDescent="0.2">
      <c r="A507">
        <v>140</v>
      </c>
      <c r="B507">
        <v>120.17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</row>
    <row r="508" spans="1:24" x14ac:dyDescent="0.2">
      <c r="A508">
        <v>140</v>
      </c>
      <c r="B508" t="s">
        <v>139</v>
      </c>
      <c r="C508" t="s">
        <v>422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 x14ac:dyDescent="0.2">
      <c r="A509">
        <v>140</v>
      </c>
      <c r="B509">
        <v>120.14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</row>
    <row r="510" spans="1:24" x14ac:dyDescent="0.2">
      <c r="A510">
        <v>141</v>
      </c>
      <c r="B510" t="s">
        <v>139</v>
      </c>
      <c r="C510" t="s">
        <v>423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</row>
    <row r="511" spans="1:24" x14ac:dyDescent="0.2">
      <c r="A511">
        <v>141</v>
      </c>
      <c r="B511">
        <v>117.17</v>
      </c>
      <c r="C511" t="s">
        <v>424</v>
      </c>
      <c r="D511">
        <v>0</v>
      </c>
      <c r="E511">
        <v>0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</row>
    <row r="512" spans="1:24" x14ac:dyDescent="0.2">
      <c r="A512">
        <v>141</v>
      </c>
      <c r="B512">
        <v>120.14</v>
      </c>
      <c r="C512" t="s">
        <v>425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</row>
    <row r="513" spans="1:24" x14ac:dyDescent="0.2">
      <c r="A513">
        <v>141</v>
      </c>
      <c r="B513">
        <v>120.17</v>
      </c>
      <c r="C513" t="s">
        <v>164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</row>
    <row r="514" spans="1:24" x14ac:dyDescent="0.2">
      <c r="A514">
        <v>142</v>
      </c>
      <c r="B514">
        <v>120.14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</row>
    <row r="515" spans="1:24" x14ac:dyDescent="0.2">
      <c r="A515">
        <v>142</v>
      </c>
      <c r="B515" t="s">
        <v>139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</row>
    <row r="516" spans="1:24" x14ac:dyDescent="0.2">
      <c r="A516">
        <v>142</v>
      </c>
      <c r="B516">
        <v>120.17</v>
      </c>
      <c r="C516" t="s">
        <v>193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</row>
    <row r="517" spans="1:24" x14ac:dyDescent="0.2">
      <c r="A517">
        <v>142</v>
      </c>
      <c r="B517">
        <v>117.17</v>
      </c>
      <c r="C517" t="s">
        <v>170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</row>
    <row r="518" spans="1:24" x14ac:dyDescent="0.2">
      <c r="A518">
        <v>143</v>
      </c>
      <c r="B518">
        <v>120.17</v>
      </c>
      <c r="C518" t="s">
        <v>164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 x14ac:dyDescent="0.2">
      <c r="A519">
        <v>143</v>
      </c>
      <c r="B519">
        <v>120.14</v>
      </c>
      <c r="C519" t="s">
        <v>158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</row>
    <row r="520" spans="1:24" x14ac:dyDescent="0.2">
      <c r="A520">
        <v>143</v>
      </c>
      <c r="B520">
        <v>117.17</v>
      </c>
      <c r="C520" t="s">
        <v>193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</row>
    <row r="521" spans="1:24" x14ac:dyDescent="0.2">
      <c r="A521">
        <v>143</v>
      </c>
      <c r="B521" t="s">
        <v>139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</row>
    <row r="522" spans="1:24" x14ac:dyDescent="0.2">
      <c r="A522">
        <v>144</v>
      </c>
      <c r="B522">
        <v>117.17</v>
      </c>
      <c r="C522" t="s">
        <v>335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</row>
    <row r="523" spans="1:24" x14ac:dyDescent="0.2">
      <c r="A523">
        <v>144</v>
      </c>
      <c r="B523">
        <v>120.17</v>
      </c>
      <c r="C523" t="s">
        <v>308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</row>
    <row r="524" spans="1:24" x14ac:dyDescent="0.2">
      <c r="A524">
        <v>144</v>
      </c>
      <c r="B524" t="s">
        <v>139</v>
      </c>
      <c r="C524" t="s">
        <v>308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 x14ac:dyDescent="0.2">
      <c r="A525">
        <v>144</v>
      </c>
      <c r="B525">
        <v>120.14</v>
      </c>
      <c r="C525" t="s">
        <v>206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</row>
    <row r="526" spans="1:24" x14ac:dyDescent="0.2">
      <c r="A526">
        <v>145</v>
      </c>
      <c r="B526" t="s">
        <v>139</v>
      </c>
      <c r="C526" t="s">
        <v>426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1</v>
      </c>
      <c r="W526">
        <v>0</v>
      </c>
      <c r="X526">
        <v>0</v>
      </c>
    </row>
    <row r="527" spans="1:24" x14ac:dyDescent="0.2">
      <c r="A527">
        <v>145</v>
      </c>
      <c r="B527">
        <v>117.17</v>
      </c>
      <c r="C527" t="s">
        <v>205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</row>
    <row r="528" spans="1:24" x14ac:dyDescent="0.2">
      <c r="A528">
        <v>145</v>
      </c>
      <c r="B528">
        <v>120.14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</row>
    <row r="529" spans="1:24" x14ac:dyDescent="0.2">
      <c r="A529">
        <v>145</v>
      </c>
      <c r="B529">
        <v>120.17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</row>
    <row r="530" spans="1:24" x14ac:dyDescent="0.2">
      <c r="A530">
        <v>146</v>
      </c>
      <c r="B530">
        <v>120.14</v>
      </c>
      <c r="C530" t="s">
        <v>427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1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 x14ac:dyDescent="0.2">
      <c r="A531">
        <v>146</v>
      </c>
      <c r="B531" t="s">
        <v>139</v>
      </c>
      <c r="C531" t="s">
        <v>428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1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1</v>
      </c>
    </row>
    <row r="532" spans="1:24" x14ac:dyDescent="0.2">
      <c r="A532">
        <v>146</v>
      </c>
      <c r="B532">
        <v>120.17</v>
      </c>
      <c r="C532" t="s">
        <v>429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</row>
    <row r="533" spans="1:24" x14ac:dyDescent="0.2">
      <c r="A533">
        <v>146</v>
      </c>
      <c r="B533">
        <v>117.17</v>
      </c>
      <c r="C533" t="s">
        <v>430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1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</row>
    <row r="534" spans="1:24" x14ac:dyDescent="0.2">
      <c r="A534">
        <v>147</v>
      </c>
      <c r="B534">
        <v>120.17</v>
      </c>
      <c r="C534" t="s">
        <v>164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</row>
    <row r="535" spans="1:24" x14ac:dyDescent="0.2">
      <c r="A535">
        <v>147</v>
      </c>
      <c r="B535">
        <v>120.14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</row>
    <row r="536" spans="1:24" x14ac:dyDescent="0.2">
      <c r="A536">
        <v>147</v>
      </c>
      <c r="B536">
        <v>117.17</v>
      </c>
      <c r="C536" t="s">
        <v>164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</row>
    <row r="537" spans="1:24" x14ac:dyDescent="0.2">
      <c r="A537">
        <v>147</v>
      </c>
      <c r="B537" t="s">
        <v>139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</row>
    <row r="538" spans="1:24" x14ac:dyDescent="0.2">
      <c r="A538">
        <v>148</v>
      </c>
      <c r="B538">
        <v>117.17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</row>
    <row r="539" spans="1:24" x14ac:dyDescent="0.2">
      <c r="A539">
        <v>148</v>
      </c>
      <c r="B539">
        <v>120.17</v>
      </c>
      <c r="C539" t="s">
        <v>164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</row>
    <row r="540" spans="1:24" x14ac:dyDescent="0.2">
      <c r="A540">
        <v>148</v>
      </c>
      <c r="B540" t="s">
        <v>139</v>
      </c>
      <c r="C540" t="s">
        <v>150</v>
      </c>
      <c r="D540">
        <v>0</v>
      </c>
      <c r="E540">
        <v>0</v>
      </c>
      <c r="F540">
        <v>0</v>
      </c>
      <c r="G540">
        <v>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</row>
    <row r="541" spans="1:24" x14ac:dyDescent="0.2">
      <c r="A541">
        <v>148</v>
      </c>
      <c r="B541">
        <v>120.14</v>
      </c>
      <c r="C541" t="s">
        <v>224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</row>
    <row r="542" spans="1:24" x14ac:dyDescent="0.2">
      <c r="A542">
        <v>158</v>
      </c>
      <c r="B542">
        <v>120.14</v>
      </c>
      <c r="C542" t="s">
        <v>164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</row>
    <row r="543" spans="1:24" x14ac:dyDescent="0.2">
      <c r="A543">
        <v>158</v>
      </c>
      <c r="B543" t="s">
        <v>139</v>
      </c>
      <c r="C543" t="s">
        <v>164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</row>
    <row r="544" spans="1:24" x14ac:dyDescent="0.2">
      <c r="A544">
        <v>158</v>
      </c>
      <c r="B544">
        <v>120.17</v>
      </c>
      <c r="C544" t="s">
        <v>204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</row>
    <row r="545" spans="1:24" x14ac:dyDescent="0.2">
      <c r="A545">
        <v>158</v>
      </c>
      <c r="B545">
        <v>117.17</v>
      </c>
      <c r="C545" t="s">
        <v>431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</row>
    <row r="546" spans="1:24" x14ac:dyDescent="0.2">
      <c r="A546">
        <v>159</v>
      </c>
      <c r="B546">
        <v>120.17</v>
      </c>
      <c r="C546" t="s">
        <v>164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</row>
    <row r="547" spans="1:24" x14ac:dyDescent="0.2">
      <c r="A547">
        <v>159</v>
      </c>
      <c r="B547">
        <v>120.14</v>
      </c>
      <c r="C547" t="s">
        <v>164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</row>
    <row r="548" spans="1:24" x14ac:dyDescent="0.2">
      <c r="A548">
        <v>159</v>
      </c>
      <c r="B548">
        <v>117.17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</row>
    <row r="549" spans="1:24" x14ac:dyDescent="0.2">
      <c r="A549">
        <v>159</v>
      </c>
      <c r="B549" t="s">
        <v>139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</row>
    <row r="550" spans="1:24" x14ac:dyDescent="0.2">
      <c r="A550">
        <v>160</v>
      </c>
      <c r="B550">
        <v>117.17</v>
      </c>
      <c r="C550" t="s">
        <v>432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1</v>
      </c>
      <c r="U550">
        <v>0</v>
      </c>
      <c r="V550">
        <v>0</v>
      </c>
      <c r="W550">
        <v>0</v>
      </c>
      <c r="X550">
        <v>0</v>
      </c>
    </row>
    <row r="551" spans="1:24" x14ac:dyDescent="0.2">
      <c r="A551">
        <v>160</v>
      </c>
      <c r="B551">
        <v>120.17</v>
      </c>
      <c r="C551" t="s">
        <v>433</v>
      </c>
      <c r="D551">
        <v>0</v>
      </c>
      <c r="E551">
        <v>0</v>
      </c>
      <c r="F551">
        <v>0</v>
      </c>
      <c r="G551">
        <v>1</v>
      </c>
      <c r="H551">
        <v>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</row>
    <row r="552" spans="1:24" x14ac:dyDescent="0.2">
      <c r="A552">
        <v>160</v>
      </c>
      <c r="B552" t="s">
        <v>139</v>
      </c>
      <c r="C552" t="s">
        <v>434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 x14ac:dyDescent="0.2">
      <c r="A553">
        <v>160</v>
      </c>
      <c r="B553">
        <v>120.14</v>
      </c>
      <c r="C553" t="s">
        <v>268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BA83-978C-724F-A1EA-AEB726DFEB02}">
  <sheetPr codeName="XLSTAT_20201111_110229_1">
    <tabColor rgb="FF007800"/>
  </sheetPr>
  <dimension ref="B1:X374"/>
  <sheetViews>
    <sheetView topLeftCell="A277" zoomScaleNormal="100" workbookViewId="0">
      <selection activeCell="Q289" sqref="Q289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605</v>
      </c>
    </row>
    <row r="2" spans="2:3" x14ac:dyDescent="0.2">
      <c r="B2" t="s">
        <v>560</v>
      </c>
    </row>
    <row r="3" spans="2:3" x14ac:dyDescent="0.2">
      <c r="B3" t="s">
        <v>561</v>
      </c>
    </row>
    <row r="4" spans="2:3" x14ac:dyDescent="0.2">
      <c r="B4" t="s">
        <v>562</v>
      </c>
    </row>
    <row r="5" spans="2:3" x14ac:dyDescent="0.2">
      <c r="B5" t="s">
        <v>438</v>
      </c>
    </row>
    <row r="6" spans="2:3" x14ac:dyDescent="0.2">
      <c r="B6" t="s">
        <v>439</v>
      </c>
    </row>
    <row r="7" spans="2:3" x14ac:dyDescent="0.2">
      <c r="B7" t="s">
        <v>440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5" t="s">
        <v>443</v>
      </c>
      <c r="C15" s="6" t="s">
        <v>444</v>
      </c>
    </row>
    <row r="16" spans="2:3" x14ac:dyDescent="0.2">
      <c r="B16" s="7" t="s">
        <v>22</v>
      </c>
      <c r="C16" s="9">
        <v>0.50616521909390877</v>
      </c>
    </row>
    <row r="17" spans="2:3" x14ac:dyDescent="0.2">
      <c r="B17" s="4" t="s">
        <v>27</v>
      </c>
      <c r="C17" s="10">
        <v>0.57240670447088005</v>
      </c>
    </row>
    <row r="18" spans="2:3" x14ac:dyDescent="0.2">
      <c r="B18" s="4" t="s">
        <v>29</v>
      </c>
      <c r="C18" s="10">
        <v>0.57240670447088005</v>
      </c>
    </row>
    <row r="19" spans="2:3" x14ac:dyDescent="0.2">
      <c r="B19" s="4" t="s">
        <v>32</v>
      </c>
      <c r="C19" s="10">
        <v>0.92409024403901574</v>
      </c>
    </row>
    <row r="20" spans="2:3" x14ac:dyDescent="0.2">
      <c r="B20" s="4" t="s">
        <v>40</v>
      </c>
      <c r="C20" s="10">
        <v>0.57240670447088005</v>
      </c>
    </row>
    <row r="21" spans="2:3" x14ac:dyDescent="0.2">
      <c r="B21" s="4" t="s">
        <v>44</v>
      </c>
      <c r="C21" s="10">
        <v>0.51292863261125543</v>
      </c>
    </row>
    <row r="22" spans="2:3" x14ac:dyDescent="0.2">
      <c r="B22" s="4" t="s">
        <v>51</v>
      </c>
      <c r="C22" s="10">
        <v>7.8641102710318322E-2</v>
      </c>
    </row>
    <row r="23" spans="2:3" x14ac:dyDescent="0.2">
      <c r="B23" s="4" t="s">
        <v>58</v>
      </c>
      <c r="C23" s="10">
        <v>0.98039162094556642</v>
      </c>
    </row>
    <row r="24" spans="2:3" x14ac:dyDescent="0.2">
      <c r="B24" s="4" t="s">
        <v>84</v>
      </c>
      <c r="C24" s="10">
        <v>0.47381157339472013</v>
      </c>
    </row>
    <row r="25" spans="2:3" x14ac:dyDescent="0.2">
      <c r="B25" s="4" t="s">
        <v>88</v>
      </c>
      <c r="C25" s="10">
        <v>0.74767958728771478</v>
      </c>
    </row>
    <row r="26" spans="2:3" x14ac:dyDescent="0.2">
      <c r="B26" s="4" t="s">
        <v>93</v>
      </c>
      <c r="C26" s="10">
        <v>1</v>
      </c>
    </row>
    <row r="27" spans="2:3" x14ac:dyDescent="0.2">
      <c r="B27" s="4" t="s">
        <v>98</v>
      </c>
      <c r="C27" s="10">
        <v>0.53194837121048866</v>
      </c>
    </row>
    <row r="28" spans="2:3" x14ac:dyDescent="0.2">
      <c r="B28" s="4" t="s">
        <v>99</v>
      </c>
      <c r="C28" s="10">
        <v>0.63220620713718689</v>
      </c>
    </row>
    <row r="29" spans="2:3" x14ac:dyDescent="0.2">
      <c r="B29" s="4" t="s">
        <v>103</v>
      </c>
      <c r="C29" s="10">
        <v>0.52216718953539165</v>
      </c>
    </row>
    <row r="30" spans="2:3" x14ac:dyDescent="0.2">
      <c r="B30" s="4" t="s">
        <v>105</v>
      </c>
      <c r="C30" s="10">
        <v>0.39162517627108029</v>
      </c>
    </row>
    <row r="31" spans="2:3" x14ac:dyDescent="0.2">
      <c r="B31" s="4" t="s">
        <v>108</v>
      </c>
      <c r="C31" s="10">
        <v>0.50616521909390877</v>
      </c>
    </row>
    <row r="32" spans="2:3" x14ac:dyDescent="0.2">
      <c r="B32" s="4" t="s">
        <v>112</v>
      </c>
      <c r="C32" s="10">
        <v>0.77926910628011892</v>
      </c>
    </row>
    <row r="33" spans="2:6" x14ac:dyDescent="0.2">
      <c r="B33" s="4" t="s">
        <v>115</v>
      </c>
      <c r="C33" s="10">
        <v>0.17179714429673065</v>
      </c>
    </row>
    <row r="34" spans="2:6" x14ac:dyDescent="0.2">
      <c r="B34" s="4" t="s">
        <v>122</v>
      </c>
      <c r="C34" s="10">
        <v>0.92463364922461699</v>
      </c>
    </row>
    <row r="35" spans="2:6" x14ac:dyDescent="0.2">
      <c r="B35" s="4" t="s">
        <v>129</v>
      </c>
      <c r="C35" s="10">
        <v>0.53194837121048866</v>
      </c>
    </row>
    <row r="36" spans="2:6" ht="17" thickBot="1" x14ac:dyDescent="0.25">
      <c r="B36" s="8" t="s">
        <v>606</v>
      </c>
      <c r="C36" s="11">
        <v>2.7034335667891263E-2</v>
      </c>
    </row>
    <row r="39" spans="2:6" x14ac:dyDescent="0.2">
      <c r="B39" s="3" t="s">
        <v>445</v>
      </c>
    </row>
    <row r="40" spans="2:6" ht="17" thickBot="1" x14ac:dyDescent="0.25"/>
    <row r="41" spans="2:6" ht="17" x14ac:dyDescent="0.2">
      <c r="B41" s="5" t="s">
        <v>443</v>
      </c>
      <c r="C41" s="6" t="s">
        <v>463</v>
      </c>
      <c r="D41" s="6" t="s">
        <v>464</v>
      </c>
      <c r="E41" s="6" t="s">
        <v>465</v>
      </c>
      <c r="F41" s="6" t="s">
        <v>139</v>
      </c>
    </row>
    <row r="42" spans="2:6" x14ac:dyDescent="0.2">
      <c r="B42" s="7" t="s">
        <v>22</v>
      </c>
      <c r="C42" s="12" t="s">
        <v>461</v>
      </c>
      <c r="D42" s="12" t="s">
        <v>446</v>
      </c>
      <c r="E42" s="12" t="s">
        <v>452</v>
      </c>
      <c r="F42" s="12" t="s">
        <v>450</v>
      </c>
    </row>
    <row r="43" spans="2:6" x14ac:dyDescent="0.2">
      <c r="B43" s="4" t="s">
        <v>27</v>
      </c>
      <c r="C43" s="13" t="s">
        <v>447</v>
      </c>
      <c r="D43" s="13" t="s">
        <v>449</v>
      </c>
      <c r="E43" s="13" t="s">
        <v>447</v>
      </c>
      <c r="F43" s="13" t="s">
        <v>449</v>
      </c>
    </row>
    <row r="44" spans="2:6" x14ac:dyDescent="0.2">
      <c r="B44" s="4" t="s">
        <v>29</v>
      </c>
      <c r="C44" s="13" t="s">
        <v>447</v>
      </c>
      <c r="D44" s="13" t="s">
        <v>447</v>
      </c>
      <c r="E44" s="13" t="s">
        <v>448</v>
      </c>
      <c r="F44" s="13" t="s">
        <v>449</v>
      </c>
    </row>
    <row r="45" spans="2:6" x14ac:dyDescent="0.2">
      <c r="B45" s="4" t="s">
        <v>32</v>
      </c>
      <c r="C45" s="13" t="s">
        <v>563</v>
      </c>
      <c r="D45" s="13" t="s">
        <v>549</v>
      </c>
      <c r="E45" s="13" t="s">
        <v>455</v>
      </c>
      <c r="F45" s="13" t="s">
        <v>548</v>
      </c>
    </row>
    <row r="46" spans="2:6" x14ac:dyDescent="0.2">
      <c r="B46" s="4" t="s">
        <v>40</v>
      </c>
      <c r="C46" s="13" t="s">
        <v>448</v>
      </c>
      <c r="D46" s="13" t="s">
        <v>447</v>
      </c>
      <c r="E46" s="13" t="s">
        <v>447</v>
      </c>
      <c r="F46" s="13" t="s">
        <v>449</v>
      </c>
    </row>
    <row r="47" spans="2:6" x14ac:dyDescent="0.2">
      <c r="B47" s="4" t="s">
        <v>44</v>
      </c>
      <c r="C47" s="13" t="s">
        <v>564</v>
      </c>
      <c r="D47" s="13" t="s">
        <v>456</v>
      </c>
      <c r="E47" s="13" t="s">
        <v>450</v>
      </c>
      <c r="F47" s="13" t="s">
        <v>450</v>
      </c>
    </row>
    <row r="48" spans="2:6" x14ac:dyDescent="0.2">
      <c r="B48" s="4" t="s">
        <v>51</v>
      </c>
      <c r="C48" s="13" t="s">
        <v>461</v>
      </c>
      <c r="D48" s="13" t="s">
        <v>452</v>
      </c>
      <c r="E48" s="13" t="s">
        <v>456</v>
      </c>
      <c r="F48" s="13" t="s">
        <v>564</v>
      </c>
    </row>
    <row r="49" spans="2:6" x14ac:dyDescent="0.2">
      <c r="B49" s="4" t="s">
        <v>58</v>
      </c>
      <c r="C49" s="13" t="s">
        <v>565</v>
      </c>
      <c r="D49" s="13" t="s">
        <v>566</v>
      </c>
      <c r="E49" s="13" t="s">
        <v>566</v>
      </c>
      <c r="F49" s="13" t="s">
        <v>567</v>
      </c>
    </row>
    <row r="50" spans="2:6" x14ac:dyDescent="0.2">
      <c r="B50" s="4" t="s">
        <v>84</v>
      </c>
      <c r="C50" s="13" t="s">
        <v>451</v>
      </c>
      <c r="D50" s="13" t="s">
        <v>452</v>
      </c>
      <c r="E50" s="13" t="s">
        <v>452</v>
      </c>
      <c r="F50" s="13" t="s">
        <v>450</v>
      </c>
    </row>
    <row r="51" spans="2:6" x14ac:dyDescent="0.2">
      <c r="B51" s="4" t="s">
        <v>88</v>
      </c>
      <c r="C51" s="13" t="s">
        <v>446</v>
      </c>
      <c r="D51" s="13" t="s">
        <v>447</v>
      </c>
      <c r="E51" s="13" t="s">
        <v>448</v>
      </c>
      <c r="F51" s="13" t="s">
        <v>446</v>
      </c>
    </row>
    <row r="52" spans="2:6" x14ac:dyDescent="0.2">
      <c r="B52" s="4" t="s">
        <v>93</v>
      </c>
      <c r="C52" s="13" t="s">
        <v>449</v>
      </c>
      <c r="D52" s="13" t="s">
        <v>449</v>
      </c>
      <c r="E52" s="13" t="s">
        <v>449</v>
      </c>
      <c r="F52" s="13" t="s">
        <v>449</v>
      </c>
    </row>
    <row r="53" spans="2:6" x14ac:dyDescent="0.2">
      <c r="B53" s="4" t="s">
        <v>98</v>
      </c>
      <c r="C53" s="13" t="s">
        <v>449</v>
      </c>
      <c r="D53" s="13" t="s">
        <v>448</v>
      </c>
      <c r="E53" s="13" t="s">
        <v>447</v>
      </c>
      <c r="F53" s="13" t="s">
        <v>448</v>
      </c>
    </row>
    <row r="54" spans="2:6" x14ac:dyDescent="0.2">
      <c r="B54" s="4" t="s">
        <v>99</v>
      </c>
      <c r="C54" s="13" t="s">
        <v>461</v>
      </c>
      <c r="D54" s="13" t="s">
        <v>450</v>
      </c>
      <c r="E54" s="13" t="s">
        <v>446</v>
      </c>
      <c r="F54" s="13" t="s">
        <v>462</v>
      </c>
    </row>
    <row r="55" spans="2:6" x14ac:dyDescent="0.2">
      <c r="B55" s="4" t="s">
        <v>103</v>
      </c>
      <c r="C55" s="13" t="s">
        <v>452</v>
      </c>
      <c r="D55" s="13" t="s">
        <v>446</v>
      </c>
      <c r="E55" s="13" t="s">
        <v>447</v>
      </c>
      <c r="F55" s="13" t="s">
        <v>452</v>
      </c>
    </row>
    <row r="56" spans="2:6" x14ac:dyDescent="0.2">
      <c r="B56" s="4" t="s">
        <v>105</v>
      </c>
      <c r="C56" s="13" t="s">
        <v>447</v>
      </c>
      <c r="D56" s="13" t="s">
        <v>449</v>
      </c>
      <c r="E56" s="13" t="s">
        <v>449</v>
      </c>
      <c r="F56" s="13" t="s">
        <v>449</v>
      </c>
    </row>
    <row r="57" spans="2:6" x14ac:dyDescent="0.2">
      <c r="B57" s="4" t="s">
        <v>108</v>
      </c>
      <c r="C57" s="13" t="s">
        <v>461</v>
      </c>
      <c r="D57" s="13" t="s">
        <v>446</v>
      </c>
      <c r="E57" s="13" t="s">
        <v>452</v>
      </c>
      <c r="F57" s="13" t="s">
        <v>450</v>
      </c>
    </row>
    <row r="58" spans="2:6" x14ac:dyDescent="0.2">
      <c r="B58" s="4" t="s">
        <v>112</v>
      </c>
      <c r="C58" s="13" t="s">
        <v>448</v>
      </c>
      <c r="D58" s="13" t="s">
        <v>446</v>
      </c>
      <c r="E58" s="13" t="s">
        <v>448</v>
      </c>
      <c r="F58" s="13" t="s">
        <v>447</v>
      </c>
    </row>
    <row r="59" spans="2:6" x14ac:dyDescent="0.2">
      <c r="B59" s="4" t="s">
        <v>115</v>
      </c>
      <c r="C59" s="13" t="s">
        <v>447</v>
      </c>
      <c r="D59" s="13" t="s">
        <v>452</v>
      </c>
      <c r="E59" s="13" t="s">
        <v>449</v>
      </c>
      <c r="F59" s="13" t="s">
        <v>448</v>
      </c>
    </row>
    <row r="60" spans="2:6" x14ac:dyDescent="0.2">
      <c r="B60" s="4" t="s">
        <v>122</v>
      </c>
      <c r="C60" s="13" t="s">
        <v>448</v>
      </c>
      <c r="D60" s="13" t="s">
        <v>446</v>
      </c>
      <c r="E60" s="13" t="s">
        <v>446</v>
      </c>
      <c r="F60" s="13" t="s">
        <v>446</v>
      </c>
    </row>
    <row r="61" spans="2:6" x14ac:dyDescent="0.2">
      <c r="B61" s="4" t="s">
        <v>129</v>
      </c>
      <c r="C61" s="13" t="s">
        <v>447</v>
      </c>
      <c r="D61" s="13" t="s">
        <v>449</v>
      </c>
      <c r="E61" s="13" t="s">
        <v>448</v>
      </c>
      <c r="F61" s="13" t="s">
        <v>448</v>
      </c>
    </row>
    <row r="62" spans="2:6" ht="17" thickBot="1" x14ac:dyDescent="0.25">
      <c r="B62" s="37" t="s">
        <v>134</v>
      </c>
      <c r="C62" s="38" t="s">
        <v>568</v>
      </c>
      <c r="D62" s="38" t="s">
        <v>569</v>
      </c>
      <c r="E62" s="38" t="s">
        <v>447</v>
      </c>
      <c r="F62" s="38" t="s">
        <v>570</v>
      </c>
    </row>
    <row r="65" spans="2:6" x14ac:dyDescent="0.2">
      <c r="B65" s="3" t="s">
        <v>571</v>
      </c>
    </row>
    <row r="66" spans="2:6" ht="17" thickBot="1" x14ac:dyDescent="0.25"/>
    <row r="67" spans="2:6" x14ac:dyDescent="0.2">
      <c r="B67" s="16"/>
      <c r="C67" s="17" t="s">
        <v>463</v>
      </c>
      <c r="D67" s="17" t="s">
        <v>464</v>
      </c>
      <c r="E67" s="17" t="s">
        <v>465</v>
      </c>
      <c r="F67" s="17" t="s">
        <v>139</v>
      </c>
    </row>
    <row r="68" spans="2:6" x14ac:dyDescent="0.2">
      <c r="B68" s="18">
        <v>117.17</v>
      </c>
      <c r="C68" s="23">
        <v>0</v>
      </c>
      <c r="D68" s="20">
        <v>1.4492753623188408E-2</v>
      </c>
      <c r="E68" s="20">
        <v>7.2463768115942039E-3</v>
      </c>
      <c r="F68" s="20">
        <v>-1.4492753623188408E-2</v>
      </c>
    </row>
    <row r="69" spans="2:6" x14ac:dyDescent="0.2">
      <c r="B69" s="15">
        <v>120.14</v>
      </c>
      <c r="C69" s="21">
        <v>-1.4492753623188408E-2</v>
      </c>
      <c r="D69" s="24">
        <v>0</v>
      </c>
      <c r="E69" s="21">
        <v>-7.2463768115942039E-3</v>
      </c>
      <c r="F69" s="21">
        <v>-2.8985507246376815E-2</v>
      </c>
    </row>
    <row r="70" spans="2:6" x14ac:dyDescent="0.2">
      <c r="B70" s="15">
        <v>120.17</v>
      </c>
      <c r="C70" s="21">
        <v>-7.2463768115942039E-3</v>
      </c>
      <c r="D70" s="21">
        <v>7.2463768115942039E-3</v>
      </c>
      <c r="E70" s="24">
        <v>0</v>
      </c>
      <c r="F70" s="21">
        <v>-2.1739130434782612E-2</v>
      </c>
    </row>
    <row r="71" spans="2:6" ht="17" thickBot="1" x14ac:dyDescent="0.25">
      <c r="B71" s="19" t="s">
        <v>139</v>
      </c>
      <c r="C71" s="22">
        <v>1.4492753623188408E-2</v>
      </c>
      <c r="D71" s="22">
        <v>2.8985507246376815E-2</v>
      </c>
      <c r="E71" s="22">
        <v>2.1739130434782612E-2</v>
      </c>
      <c r="F71" s="25">
        <v>0</v>
      </c>
    </row>
    <row r="72" spans="2:6" x14ac:dyDescent="0.2">
      <c r="B72" s="3" t="s">
        <v>487</v>
      </c>
    </row>
    <row r="75" spans="2:6" x14ac:dyDescent="0.2">
      <c r="B75" s="3" t="s">
        <v>572</v>
      </c>
    </row>
    <row r="76" spans="2:6" ht="17" thickBot="1" x14ac:dyDescent="0.25"/>
    <row r="77" spans="2:6" x14ac:dyDescent="0.2">
      <c r="B77" s="16"/>
      <c r="C77" s="17" t="s">
        <v>463</v>
      </c>
      <c r="D77" s="17" t="s">
        <v>464</v>
      </c>
      <c r="E77" s="17" t="s">
        <v>465</v>
      </c>
      <c r="F77" s="17" t="s">
        <v>139</v>
      </c>
    </row>
    <row r="78" spans="2:6" x14ac:dyDescent="0.2">
      <c r="B78" s="18">
        <v>117.17</v>
      </c>
      <c r="C78" s="23">
        <v>0</v>
      </c>
      <c r="D78" s="20">
        <v>7.246376811594203E-3</v>
      </c>
      <c r="E78" s="20">
        <v>0</v>
      </c>
      <c r="F78" s="20">
        <v>7.246376811594203E-3</v>
      </c>
    </row>
    <row r="79" spans="2:6" x14ac:dyDescent="0.2">
      <c r="B79" s="15">
        <v>120.14</v>
      </c>
      <c r="C79" s="21">
        <v>-7.246376811594203E-3</v>
      </c>
      <c r="D79" s="24">
        <v>0</v>
      </c>
      <c r="E79" s="21">
        <v>-7.246376811594203E-3</v>
      </c>
      <c r="F79" s="21">
        <v>0</v>
      </c>
    </row>
    <row r="80" spans="2:6" x14ac:dyDescent="0.2">
      <c r="B80" s="15">
        <v>120.17</v>
      </c>
      <c r="C80" s="21">
        <v>0</v>
      </c>
      <c r="D80" s="21">
        <v>7.246376811594203E-3</v>
      </c>
      <c r="E80" s="24">
        <v>0</v>
      </c>
      <c r="F80" s="21">
        <v>7.246376811594203E-3</v>
      </c>
    </row>
    <row r="81" spans="2:6" ht="17" thickBot="1" x14ac:dyDescent="0.25">
      <c r="B81" s="19" t="s">
        <v>139</v>
      </c>
      <c r="C81" s="22">
        <v>-7.246376811594203E-3</v>
      </c>
      <c r="D81" s="22">
        <v>0</v>
      </c>
      <c r="E81" s="22">
        <v>-7.246376811594203E-3</v>
      </c>
      <c r="F81" s="25">
        <v>0</v>
      </c>
    </row>
    <row r="82" spans="2:6" x14ac:dyDescent="0.2">
      <c r="B82" s="3" t="s">
        <v>493</v>
      </c>
    </row>
    <row r="85" spans="2:6" x14ac:dyDescent="0.2">
      <c r="B85" s="3" t="s">
        <v>573</v>
      </c>
    </row>
    <row r="86" spans="2:6" ht="17" thickBot="1" x14ac:dyDescent="0.25"/>
    <row r="87" spans="2:6" x14ac:dyDescent="0.2">
      <c r="B87" s="16"/>
      <c r="C87" s="17" t="s">
        <v>463</v>
      </c>
      <c r="D87" s="17" t="s">
        <v>464</v>
      </c>
      <c r="E87" s="17" t="s">
        <v>465</v>
      </c>
      <c r="F87" s="17" t="s">
        <v>139</v>
      </c>
    </row>
    <row r="88" spans="2:6" x14ac:dyDescent="0.2">
      <c r="B88" s="18">
        <v>117.17</v>
      </c>
      <c r="C88" s="23">
        <v>0</v>
      </c>
      <c r="D88" s="20">
        <v>0</v>
      </c>
      <c r="E88" s="20">
        <v>-7.246376811594203E-3</v>
      </c>
      <c r="F88" s="20">
        <v>7.246376811594203E-3</v>
      </c>
    </row>
    <row r="89" spans="2:6" x14ac:dyDescent="0.2">
      <c r="B89" s="15">
        <v>120.14</v>
      </c>
      <c r="C89" s="21">
        <v>0</v>
      </c>
      <c r="D89" s="24">
        <v>0</v>
      </c>
      <c r="E89" s="21">
        <v>-7.246376811594203E-3</v>
      </c>
      <c r="F89" s="21">
        <v>7.246376811594203E-3</v>
      </c>
    </row>
    <row r="90" spans="2:6" x14ac:dyDescent="0.2">
      <c r="B90" s="15">
        <v>120.17</v>
      </c>
      <c r="C90" s="21">
        <v>7.246376811594203E-3</v>
      </c>
      <c r="D90" s="21">
        <v>7.246376811594203E-3</v>
      </c>
      <c r="E90" s="24">
        <v>0</v>
      </c>
      <c r="F90" s="21">
        <v>1.4492753623188406E-2</v>
      </c>
    </row>
    <row r="91" spans="2:6" ht="17" thickBot="1" x14ac:dyDescent="0.25">
      <c r="B91" s="19" t="s">
        <v>139</v>
      </c>
      <c r="C91" s="22">
        <v>-7.246376811594203E-3</v>
      </c>
      <c r="D91" s="22">
        <v>-7.246376811594203E-3</v>
      </c>
      <c r="E91" s="22">
        <v>-1.4492753623188406E-2</v>
      </c>
      <c r="F91" s="25">
        <v>0</v>
      </c>
    </row>
    <row r="92" spans="2:6" x14ac:dyDescent="0.2">
      <c r="B92" s="3" t="s">
        <v>574</v>
      </c>
    </row>
    <row r="95" spans="2:6" x14ac:dyDescent="0.2">
      <c r="B95" s="3" t="s">
        <v>575</v>
      </c>
    </row>
    <row r="96" spans="2:6" ht="17" thickBot="1" x14ac:dyDescent="0.25"/>
    <row r="97" spans="2:6" x14ac:dyDescent="0.2">
      <c r="B97" s="16"/>
      <c r="C97" s="17" t="s">
        <v>463</v>
      </c>
      <c r="D97" s="17" t="s">
        <v>464</v>
      </c>
      <c r="E97" s="17" t="s">
        <v>465</v>
      </c>
      <c r="F97" s="17" t="s">
        <v>139</v>
      </c>
    </row>
    <row r="98" spans="2:6" x14ac:dyDescent="0.2">
      <c r="B98" s="18">
        <v>117.17</v>
      </c>
      <c r="C98" s="23">
        <v>0</v>
      </c>
      <c r="D98" s="20">
        <v>-2.1739130434782608E-2</v>
      </c>
      <c r="E98" s="20">
        <v>-1.4492753623188401E-2</v>
      </c>
      <c r="F98" s="20">
        <v>-7.2463768115942073E-3</v>
      </c>
    </row>
    <row r="99" spans="2:6" x14ac:dyDescent="0.2">
      <c r="B99" s="15">
        <v>120.14</v>
      </c>
      <c r="C99" s="21">
        <v>2.1739130434782608E-2</v>
      </c>
      <c r="D99" s="24">
        <v>0</v>
      </c>
      <c r="E99" s="21">
        <v>7.2463768115942073E-3</v>
      </c>
      <c r="F99" s="21">
        <v>1.4492753623188401E-2</v>
      </c>
    </row>
    <row r="100" spans="2:6" x14ac:dyDescent="0.2">
      <c r="B100" s="15">
        <v>120.17</v>
      </c>
      <c r="C100" s="21">
        <v>1.4492753623188401E-2</v>
      </c>
      <c r="D100" s="21">
        <v>-7.2463768115942073E-3</v>
      </c>
      <c r="E100" s="24">
        <v>0</v>
      </c>
      <c r="F100" s="21">
        <v>7.2463768115941934E-3</v>
      </c>
    </row>
    <row r="101" spans="2:6" ht="17" thickBot="1" x14ac:dyDescent="0.25">
      <c r="B101" s="19" t="s">
        <v>139</v>
      </c>
      <c r="C101" s="22">
        <v>7.2463768115942073E-3</v>
      </c>
      <c r="D101" s="22">
        <v>-1.4492753623188401E-2</v>
      </c>
      <c r="E101" s="22">
        <v>-7.2463768115941934E-3</v>
      </c>
      <c r="F101" s="25">
        <v>0</v>
      </c>
    </row>
    <row r="102" spans="2:6" x14ac:dyDescent="0.2">
      <c r="B102" s="3" t="s">
        <v>576</v>
      </c>
    </row>
    <row r="105" spans="2:6" x14ac:dyDescent="0.2">
      <c r="B105" s="3" t="s">
        <v>577</v>
      </c>
    </row>
    <row r="106" spans="2:6" ht="17" thickBot="1" x14ac:dyDescent="0.25"/>
    <row r="107" spans="2:6" x14ac:dyDescent="0.2">
      <c r="B107" s="16"/>
      <c r="C107" s="17" t="s">
        <v>463</v>
      </c>
      <c r="D107" s="17" t="s">
        <v>464</v>
      </c>
      <c r="E107" s="17" t="s">
        <v>465</v>
      </c>
      <c r="F107" s="17" t="s">
        <v>139</v>
      </c>
    </row>
    <row r="108" spans="2:6" x14ac:dyDescent="0.2">
      <c r="B108" s="18">
        <v>117.17</v>
      </c>
      <c r="C108" s="23">
        <v>0</v>
      </c>
      <c r="D108" s="20">
        <v>7.246376811594203E-3</v>
      </c>
      <c r="E108" s="20">
        <v>7.246376811594203E-3</v>
      </c>
      <c r="F108" s="20">
        <v>1.4492753623188406E-2</v>
      </c>
    </row>
    <row r="109" spans="2:6" x14ac:dyDescent="0.2">
      <c r="B109" s="15">
        <v>120.14</v>
      </c>
      <c r="C109" s="21">
        <v>-7.246376811594203E-3</v>
      </c>
      <c r="D109" s="24">
        <v>0</v>
      </c>
      <c r="E109" s="21">
        <v>0</v>
      </c>
      <c r="F109" s="21">
        <v>7.246376811594203E-3</v>
      </c>
    </row>
    <row r="110" spans="2:6" x14ac:dyDescent="0.2">
      <c r="B110" s="15">
        <v>120.17</v>
      </c>
      <c r="C110" s="21">
        <v>-7.246376811594203E-3</v>
      </c>
      <c r="D110" s="21">
        <v>0</v>
      </c>
      <c r="E110" s="24">
        <v>0</v>
      </c>
      <c r="F110" s="21">
        <v>7.246376811594203E-3</v>
      </c>
    </row>
    <row r="111" spans="2:6" ht="17" thickBot="1" x14ac:dyDescent="0.25">
      <c r="B111" s="19" t="s">
        <v>139</v>
      </c>
      <c r="C111" s="22">
        <v>-1.4492753623188406E-2</v>
      </c>
      <c r="D111" s="22">
        <v>-7.246376811594203E-3</v>
      </c>
      <c r="E111" s="22">
        <v>-7.246376811594203E-3</v>
      </c>
      <c r="F111" s="25">
        <v>0</v>
      </c>
    </row>
    <row r="112" spans="2:6" x14ac:dyDescent="0.2">
      <c r="B112" s="3" t="s">
        <v>574</v>
      </c>
    </row>
    <row r="115" spans="2:6" x14ac:dyDescent="0.2">
      <c r="B115" s="3" t="s">
        <v>578</v>
      </c>
    </row>
    <row r="116" spans="2:6" ht="17" thickBot="1" x14ac:dyDescent="0.25"/>
    <row r="117" spans="2:6" x14ac:dyDescent="0.2">
      <c r="B117" s="16"/>
      <c r="C117" s="17" t="s">
        <v>463</v>
      </c>
      <c r="D117" s="17" t="s">
        <v>464</v>
      </c>
      <c r="E117" s="17" t="s">
        <v>465</v>
      </c>
      <c r="F117" s="17" t="s">
        <v>139</v>
      </c>
    </row>
    <row r="118" spans="2:6" x14ac:dyDescent="0.2">
      <c r="B118" s="18">
        <v>117.17</v>
      </c>
      <c r="C118" s="23">
        <v>0</v>
      </c>
      <c r="D118" s="20">
        <v>-1.4492753623188401E-2</v>
      </c>
      <c r="E118" s="20">
        <v>2.1739130434782608E-2</v>
      </c>
      <c r="F118" s="20">
        <v>2.1739130434782608E-2</v>
      </c>
    </row>
    <row r="119" spans="2:6" x14ac:dyDescent="0.2">
      <c r="B119" s="15">
        <v>120.14</v>
      </c>
      <c r="C119" s="21">
        <v>1.4492753623188401E-2</v>
      </c>
      <c r="D119" s="24">
        <v>0</v>
      </c>
      <c r="E119" s="21">
        <v>3.6231884057971009E-2</v>
      </c>
      <c r="F119" s="21">
        <v>3.6231884057971009E-2</v>
      </c>
    </row>
    <row r="120" spans="2:6" x14ac:dyDescent="0.2">
      <c r="B120" s="15">
        <v>120.17</v>
      </c>
      <c r="C120" s="21">
        <v>-2.1739130434782608E-2</v>
      </c>
      <c r="D120" s="21">
        <v>-3.6231884057971009E-2</v>
      </c>
      <c r="E120" s="24">
        <v>0</v>
      </c>
      <c r="F120" s="21">
        <v>0</v>
      </c>
    </row>
    <row r="121" spans="2:6" ht="17" thickBot="1" x14ac:dyDescent="0.25">
      <c r="B121" s="19" t="s">
        <v>139</v>
      </c>
      <c r="C121" s="22">
        <v>-2.1739130434782608E-2</v>
      </c>
      <c r="D121" s="22">
        <v>-3.6231884057971009E-2</v>
      </c>
      <c r="E121" s="22">
        <v>0</v>
      </c>
      <c r="F121" s="25">
        <v>0</v>
      </c>
    </row>
    <row r="122" spans="2:6" x14ac:dyDescent="0.2">
      <c r="B122" s="3" t="s">
        <v>579</v>
      </c>
    </row>
    <row r="125" spans="2:6" x14ac:dyDescent="0.2">
      <c r="B125" s="3" t="s">
        <v>580</v>
      </c>
    </row>
    <row r="126" spans="2:6" ht="17" thickBot="1" x14ac:dyDescent="0.25"/>
    <row r="127" spans="2:6" x14ac:dyDescent="0.2">
      <c r="B127" s="16"/>
      <c r="C127" s="17" t="s">
        <v>463</v>
      </c>
      <c r="D127" s="17" t="s">
        <v>464</v>
      </c>
      <c r="E127" s="17" t="s">
        <v>465</v>
      </c>
      <c r="F127" s="17" t="s">
        <v>139</v>
      </c>
    </row>
    <row r="128" spans="2:6" x14ac:dyDescent="0.2">
      <c r="B128" s="18">
        <v>117.17</v>
      </c>
      <c r="C128" s="23">
        <v>0</v>
      </c>
      <c r="D128" s="20">
        <v>7.2463768115942039E-3</v>
      </c>
      <c r="E128" s="20">
        <v>-5.0724637681159417E-2</v>
      </c>
      <c r="F128" s="20">
        <v>-3.6231884057971016E-2</v>
      </c>
    </row>
    <row r="129" spans="2:6" x14ac:dyDescent="0.2">
      <c r="B129" s="15">
        <v>120.14</v>
      </c>
      <c r="C129" s="21">
        <v>-7.2463768115942039E-3</v>
      </c>
      <c r="D129" s="24">
        <v>0</v>
      </c>
      <c r="E129" s="21">
        <v>-5.7971014492753617E-2</v>
      </c>
      <c r="F129" s="21">
        <v>-4.3478260869565216E-2</v>
      </c>
    </row>
    <row r="130" spans="2:6" x14ac:dyDescent="0.2">
      <c r="B130" s="15">
        <v>120.17</v>
      </c>
      <c r="C130" s="21">
        <v>5.0724637681159417E-2</v>
      </c>
      <c r="D130" s="21">
        <v>5.7971014492753617E-2</v>
      </c>
      <c r="E130" s="24">
        <v>0</v>
      </c>
      <c r="F130" s="21">
        <v>1.4492753623188401E-2</v>
      </c>
    </row>
    <row r="131" spans="2:6" ht="17" thickBot="1" x14ac:dyDescent="0.25">
      <c r="B131" s="19" t="s">
        <v>139</v>
      </c>
      <c r="C131" s="22">
        <v>3.6231884057971016E-2</v>
      </c>
      <c r="D131" s="22">
        <v>4.3478260869565216E-2</v>
      </c>
      <c r="E131" s="22">
        <v>-1.4492753623188401E-2</v>
      </c>
      <c r="F131" s="25">
        <v>0</v>
      </c>
    </row>
    <row r="132" spans="2:6" x14ac:dyDescent="0.2">
      <c r="B132" s="3" t="s">
        <v>581</v>
      </c>
    </row>
    <row r="135" spans="2:6" x14ac:dyDescent="0.2">
      <c r="B135" s="3" t="s">
        <v>582</v>
      </c>
    </row>
    <row r="136" spans="2:6" ht="17" thickBot="1" x14ac:dyDescent="0.25"/>
    <row r="137" spans="2:6" x14ac:dyDescent="0.2">
      <c r="B137" s="16"/>
      <c r="C137" s="17" t="s">
        <v>463</v>
      </c>
      <c r="D137" s="17" t="s">
        <v>464</v>
      </c>
      <c r="E137" s="17" t="s">
        <v>465</v>
      </c>
      <c r="F137" s="17" t="s">
        <v>139</v>
      </c>
    </row>
    <row r="138" spans="2:6" x14ac:dyDescent="0.2">
      <c r="B138" s="18">
        <v>117.17</v>
      </c>
      <c r="C138" s="23">
        <v>0</v>
      </c>
      <c r="D138" s="20">
        <v>-1.4492753623188415E-2</v>
      </c>
      <c r="E138" s="20">
        <v>-1.4492753623188415E-2</v>
      </c>
      <c r="F138" s="20">
        <v>-7.2463768115942073E-3</v>
      </c>
    </row>
    <row r="139" spans="2:6" x14ac:dyDescent="0.2">
      <c r="B139" s="15">
        <v>120.14</v>
      </c>
      <c r="C139" s="21">
        <v>1.4492753623188415E-2</v>
      </c>
      <c r="D139" s="24">
        <v>0</v>
      </c>
      <c r="E139" s="21">
        <v>0</v>
      </c>
      <c r="F139" s="21">
        <v>7.2463768115942073E-3</v>
      </c>
    </row>
    <row r="140" spans="2:6" x14ac:dyDescent="0.2">
      <c r="B140" s="15">
        <v>120.17</v>
      </c>
      <c r="C140" s="21">
        <v>1.4492753623188415E-2</v>
      </c>
      <c r="D140" s="21">
        <v>0</v>
      </c>
      <c r="E140" s="24">
        <v>0</v>
      </c>
      <c r="F140" s="21">
        <v>7.2463768115942073E-3</v>
      </c>
    </row>
    <row r="141" spans="2:6" ht="17" thickBot="1" x14ac:dyDescent="0.25">
      <c r="B141" s="19" t="s">
        <v>139</v>
      </c>
      <c r="C141" s="22">
        <v>7.2463768115942073E-3</v>
      </c>
      <c r="D141" s="22">
        <v>-7.2463768115942073E-3</v>
      </c>
      <c r="E141" s="22">
        <v>-7.2463768115942073E-3</v>
      </c>
      <c r="F141" s="25">
        <v>0</v>
      </c>
    </row>
    <row r="142" spans="2:6" x14ac:dyDescent="0.2">
      <c r="B142" s="3" t="s">
        <v>583</v>
      </c>
    </row>
    <row r="145" spans="2:6" x14ac:dyDescent="0.2">
      <c r="B145" s="3" t="s">
        <v>584</v>
      </c>
    </row>
    <row r="146" spans="2:6" ht="17" thickBot="1" x14ac:dyDescent="0.25"/>
    <row r="147" spans="2:6" x14ac:dyDescent="0.2">
      <c r="B147" s="16"/>
      <c r="C147" s="17" t="s">
        <v>463</v>
      </c>
      <c r="D147" s="17" t="s">
        <v>464</v>
      </c>
      <c r="E147" s="17" t="s">
        <v>465</v>
      </c>
      <c r="F147" s="17" t="s">
        <v>139</v>
      </c>
    </row>
    <row r="148" spans="2:6" x14ac:dyDescent="0.2">
      <c r="B148" s="18">
        <v>117.17</v>
      </c>
      <c r="C148" s="23">
        <v>0</v>
      </c>
      <c r="D148" s="20">
        <v>2.8985507246376812E-2</v>
      </c>
      <c r="E148" s="20">
        <v>2.8985507246376812E-2</v>
      </c>
      <c r="F148" s="20">
        <v>7.2463768115942004E-3</v>
      </c>
    </row>
    <row r="149" spans="2:6" x14ac:dyDescent="0.2">
      <c r="B149" s="15">
        <v>120.14</v>
      </c>
      <c r="C149" s="21">
        <v>-2.8985507246376812E-2</v>
      </c>
      <c r="D149" s="24">
        <v>0</v>
      </c>
      <c r="E149" s="21">
        <v>0</v>
      </c>
      <c r="F149" s="21">
        <v>-2.1739130434782612E-2</v>
      </c>
    </row>
    <row r="150" spans="2:6" x14ac:dyDescent="0.2">
      <c r="B150" s="15">
        <v>120.17</v>
      </c>
      <c r="C150" s="21">
        <v>-2.8985507246376812E-2</v>
      </c>
      <c r="D150" s="21">
        <v>0</v>
      </c>
      <c r="E150" s="24">
        <v>0</v>
      </c>
      <c r="F150" s="21">
        <v>-2.1739130434782612E-2</v>
      </c>
    </row>
    <row r="151" spans="2:6" ht="17" thickBot="1" x14ac:dyDescent="0.25">
      <c r="B151" s="19" t="s">
        <v>139</v>
      </c>
      <c r="C151" s="22">
        <v>-7.2463768115942004E-3</v>
      </c>
      <c r="D151" s="22">
        <v>2.1739130434782612E-2</v>
      </c>
      <c r="E151" s="22">
        <v>2.1739130434782612E-2</v>
      </c>
      <c r="F151" s="25">
        <v>0</v>
      </c>
    </row>
    <row r="152" spans="2:6" x14ac:dyDescent="0.2">
      <c r="B152" s="3" t="s">
        <v>585</v>
      </c>
    </row>
    <row r="155" spans="2:6" x14ac:dyDescent="0.2">
      <c r="B155" s="3" t="s">
        <v>586</v>
      </c>
    </row>
    <row r="156" spans="2:6" ht="17" thickBot="1" x14ac:dyDescent="0.25"/>
    <row r="157" spans="2:6" x14ac:dyDescent="0.2">
      <c r="B157" s="16"/>
      <c r="C157" s="17" t="s">
        <v>463</v>
      </c>
      <c r="D157" s="17" t="s">
        <v>464</v>
      </c>
      <c r="E157" s="17" t="s">
        <v>465</v>
      </c>
      <c r="F157" s="17" t="s">
        <v>139</v>
      </c>
    </row>
    <row r="158" spans="2:6" x14ac:dyDescent="0.2">
      <c r="B158" s="18">
        <v>117.17</v>
      </c>
      <c r="C158" s="23">
        <v>0</v>
      </c>
      <c r="D158" s="20">
        <v>1.4492753623188404E-2</v>
      </c>
      <c r="E158" s="20">
        <v>7.2463768115942021E-3</v>
      </c>
      <c r="F158" s="20">
        <v>0</v>
      </c>
    </row>
    <row r="159" spans="2:6" x14ac:dyDescent="0.2">
      <c r="B159" s="15">
        <v>120.14</v>
      </c>
      <c r="C159" s="21">
        <v>-1.4492753623188404E-2</v>
      </c>
      <c r="D159" s="24">
        <v>0</v>
      </c>
      <c r="E159" s="21">
        <v>-7.246376811594203E-3</v>
      </c>
      <c r="F159" s="21">
        <v>-1.4492753623188404E-2</v>
      </c>
    </row>
    <row r="160" spans="2:6" x14ac:dyDescent="0.2">
      <c r="B160" s="15">
        <v>120.17</v>
      </c>
      <c r="C160" s="21">
        <v>-7.2463768115942021E-3</v>
      </c>
      <c r="D160" s="21">
        <v>7.246376811594203E-3</v>
      </c>
      <c r="E160" s="24">
        <v>0</v>
      </c>
      <c r="F160" s="21">
        <v>-7.2463768115942021E-3</v>
      </c>
    </row>
    <row r="161" spans="2:6" ht="17" thickBot="1" x14ac:dyDescent="0.25">
      <c r="B161" s="19" t="s">
        <v>139</v>
      </c>
      <c r="C161" s="22">
        <v>0</v>
      </c>
      <c r="D161" s="22">
        <v>1.4492753623188404E-2</v>
      </c>
      <c r="E161" s="22">
        <v>7.2463768115942021E-3</v>
      </c>
      <c r="F161" s="25">
        <v>0</v>
      </c>
    </row>
    <row r="162" spans="2:6" x14ac:dyDescent="0.2">
      <c r="B162" s="3" t="s">
        <v>587</v>
      </c>
    </row>
    <row r="165" spans="2:6" x14ac:dyDescent="0.2">
      <c r="B165" s="3" t="s">
        <v>588</v>
      </c>
    </row>
    <row r="166" spans="2:6" ht="17" thickBot="1" x14ac:dyDescent="0.25"/>
    <row r="167" spans="2:6" x14ac:dyDescent="0.2">
      <c r="B167" s="16"/>
      <c r="C167" s="17" t="s">
        <v>463</v>
      </c>
      <c r="D167" s="17" t="s">
        <v>464</v>
      </c>
      <c r="E167" s="17" t="s">
        <v>465</v>
      </c>
      <c r="F167" s="17" t="s">
        <v>139</v>
      </c>
    </row>
    <row r="168" spans="2:6" x14ac:dyDescent="0.2">
      <c r="B168" s="18">
        <v>117.17</v>
      </c>
      <c r="C168" s="23">
        <v>0</v>
      </c>
      <c r="D168" s="20">
        <v>0</v>
      </c>
      <c r="E168" s="20">
        <v>0</v>
      </c>
      <c r="F168" s="20">
        <v>0</v>
      </c>
    </row>
    <row r="169" spans="2:6" x14ac:dyDescent="0.2">
      <c r="B169" s="15">
        <v>120.14</v>
      </c>
      <c r="C169" s="21">
        <v>0</v>
      </c>
      <c r="D169" s="24">
        <v>0</v>
      </c>
      <c r="E169" s="21">
        <v>0</v>
      </c>
      <c r="F169" s="21">
        <v>0</v>
      </c>
    </row>
    <row r="170" spans="2:6" x14ac:dyDescent="0.2">
      <c r="B170" s="15">
        <v>120.17</v>
      </c>
      <c r="C170" s="21">
        <v>0</v>
      </c>
      <c r="D170" s="21">
        <v>0</v>
      </c>
      <c r="E170" s="24">
        <v>0</v>
      </c>
      <c r="F170" s="21">
        <v>0</v>
      </c>
    </row>
    <row r="171" spans="2:6" ht="17" thickBot="1" x14ac:dyDescent="0.25">
      <c r="B171" s="19" t="s">
        <v>139</v>
      </c>
      <c r="C171" s="22">
        <v>0</v>
      </c>
      <c r="D171" s="22">
        <v>0</v>
      </c>
      <c r="E171" s="22">
        <v>0</v>
      </c>
      <c r="F171" s="25">
        <v>0</v>
      </c>
    </row>
    <row r="172" spans="2:6" x14ac:dyDescent="0.2">
      <c r="B172" s="3" t="s">
        <v>589</v>
      </c>
    </row>
    <row r="175" spans="2:6" x14ac:dyDescent="0.2">
      <c r="B175" s="3" t="s">
        <v>590</v>
      </c>
    </row>
    <row r="176" spans="2:6" ht="17" thickBot="1" x14ac:dyDescent="0.25"/>
    <row r="177" spans="2:6" x14ac:dyDescent="0.2">
      <c r="B177" s="16"/>
      <c r="C177" s="17" t="s">
        <v>463</v>
      </c>
      <c r="D177" s="17" t="s">
        <v>464</v>
      </c>
      <c r="E177" s="17" t="s">
        <v>465</v>
      </c>
      <c r="F177" s="17" t="s">
        <v>139</v>
      </c>
    </row>
    <row r="178" spans="2:6" x14ac:dyDescent="0.2">
      <c r="B178" s="18">
        <v>117.17</v>
      </c>
      <c r="C178" s="23">
        <v>0</v>
      </c>
      <c r="D178" s="20">
        <v>-1.4492753623188406E-2</v>
      </c>
      <c r="E178" s="20">
        <v>-7.246376811594203E-3</v>
      </c>
      <c r="F178" s="20">
        <v>-1.4492753623188406E-2</v>
      </c>
    </row>
    <row r="179" spans="2:6" x14ac:dyDescent="0.2">
      <c r="B179" s="15">
        <v>120.14</v>
      </c>
      <c r="C179" s="21">
        <v>1.4492753623188406E-2</v>
      </c>
      <c r="D179" s="24">
        <v>0</v>
      </c>
      <c r="E179" s="21">
        <v>7.246376811594203E-3</v>
      </c>
      <c r="F179" s="21">
        <v>0</v>
      </c>
    </row>
    <row r="180" spans="2:6" x14ac:dyDescent="0.2">
      <c r="B180" s="15">
        <v>120.17</v>
      </c>
      <c r="C180" s="21">
        <v>7.246376811594203E-3</v>
      </c>
      <c r="D180" s="21">
        <v>-7.246376811594203E-3</v>
      </c>
      <c r="E180" s="24">
        <v>0</v>
      </c>
      <c r="F180" s="21">
        <v>-7.246376811594203E-3</v>
      </c>
    </row>
    <row r="181" spans="2:6" ht="17" thickBot="1" x14ac:dyDescent="0.25">
      <c r="B181" s="19" t="s">
        <v>139</v>
      </c>
      <c r="C181" s="22">
        <v>1.4492753623188406E-2</v>
      </c>
      <c r="D181" s="22">
        <v>0</v>
      </c>
      <c r="E181" s="22">
        <v>7.246376811594203E-3</v>
      </c>
      <c r="F181" s="25">
        <v>0</v>
      </c>
    </row>
    <row r="182" spans="2:6" x14ac:dyDescent="0.2">
      <c r="B182" s="3" t="s">
        <v>473</v>
      </c>
    </row>
    <row r="185" spans="2:6" x14ac:dyDescent="0.2">
      <c r="B185" s="3" t="s">
        <v>591</v>
      </c>
    </row>
    <row r="186" spans="2:6" ht="17" thickBot="1" x14ac:dyDescent="0.25"/>
    <row r="187" spans="2:6" x14ac:dyDescent="0.2">
      <c r="B187" s="16"/>
      <c r="C187" s="17" t="s">
        <v>463</v>
      </c>
      <c r="D187" s="17" t="s">
        <v>464</v>
      </c>
      <c r="E187" s="17" t="s">
        <v>465</v>
      </c>
      <c r="F187" s="17" t="s">
        <v>139</v>
      </c>
    </row>
    <row r="188" spans="2:6" x14ac:dyDescent="0.2">
      <c r="B188" s="18">
        <v>117.17</v>
      </c>
      <c r="C188" s="23">
        <v>0</v>
      </c>
      <c r="D188" s="20">
        <v>-1.4492753623188408E-2</v>
      </c>
      <c r="E188" s="20">
        <v>1.4492753623188408E-2</v>
      </c>
      <c r="F188" s="20">
        <v>-7.2463768115942004E-3</v>
      </c>
    </row>
    <row r="189" spans="2:6" x14ac:dyDescent="0.2">
      <c r="B189" s="15">
        <v>120.14</v>
      </c>
      <c r="C189" s="21">
        <v>1.4492753623188408E-2</v>
      </c>
      <c r="D189" s="24">
        <v>0</v>
      </c>
      <c r="E189" s="21">
        <v>2.8985507246376815E-2</v>
      </c>
      <c r="F189" s="21">
        <v>7.2463768115942073E-3</v>
      </c>
    </row>
    <row r="190" spans="2:6" x14ac:dyDescent="0.2">
      <c r="B190" s="15">
        <v>120.17</v>
      </c>
      <c r="C190" s="21">
        <v>-1.4492753623188408E-2</v>
      </c>
      <c r="D190" s="21">
        <v>-2.8985507246376815E-2</v>
      </c>
      <c r="E190" s="24">
        <v>0</v>
      </c>
      <c r="F190" s="21">
        <v>-2.1739130434782608E-2</v>
      </c>
    </row>
    <row r="191" spans="2:6" ht="17" thickBot="1" x14ac:dyDescent="0.25">
      <c r="B191" s="19" t="s">
        <v>139</v>
      </c>
      <c r="C191" s="22">
        <v>7.2463768115942004E-3</v>
      </c>
      <c r="D191" s="22">
        <v>-7.2463768115942073E-3</v>
      </c>
      <c r="E191" s="22">
        <v>2.1739130434782608E-2</v>
      </c>
      <c r="F191" s="25">
        <v>0</v>
      </c>
    </row>
    <row r="192" spans="2:6" x14ac:dyDescent="0.2">
      <c r="B192" s="3" t="s">
        <v>585</v>
      </c>
    </row>
    <row r="195" spans="2:6" x14ac:dyDescent="0.2">
      <c r="B195" s="3" t="s">
        <v>592</v>
      </c>
    </row>
    <row r="196" spans="2:6" ht="17" thickBot="1" x14ac:dyDescent="0.25"/>
    <row r="197" spans="2:6" x14ac:dyDescent="0.2">
      <c r="B197" s="16"/>
      <c r="C197" s="17" t="s">
        <v>463</v>
      </c>
      <c r="D197" s="17" t="s">
        <v>464</v>
      </c>
      <c r="E197" s="17" t="s">
        <v>465</v>
      </c>
      <c r="F197" s="17" t="s">
        <v>139</v>
      </c>
    </row>
    <row r="198" spans="2:6" x14ac:dyDescent="0.2">
      <c r="B198" s="18">
        <v>117.17</v>
      </c>
      <c r="C198" s="23">
        <v>0</v>
      </c>
      <c r="D198" s="20">
        <v>7.2463768115942039E-3</v>
      </c>
      <c r="E198" s="20">
        <v>2.1739130434782608E-2</v>
      </c>
      <c r="F198" s="20">
        <v>0</v>
      </c>
    </row>
    <row r="199" spans="2:6" x14ac:dyDescent="0.2">
      <c r="B199" s="15">
        <v>120.14</v>
      </c>
      <c r="C199" s="21">
        <v>-7.2463768115942039E-3</v>
      </c>
      <c r="D199" s="24">
        <v>0</v>
      </c>
      <c r="E199" s="21">
        <v>1.4492753623188404E-2</v>
      </c>
      <c r="F199" s="21">
        <v>-7.2463768115942039E-3</v>
      </c>
    </row>
    <row r="200" spans="2:6" x14ac:dyDescent="0.2">
      <c r="B200" s="15">
        <v>120.17</v>
      </c>
      <c r="C200" s="21">
        <v>-2.1739130434782608E-2</v>
      </c>
      <c r="D200" s="21">
        <v>-1.4492753623188404E-2</v>
      </c>
      <c r="E200" s="24">
        <v>0</v>
      </c>
      <c r="F200" s="21">
        <v>-2.1739130434782608E-2</v>
      </c>
    </row>
    <row r="201" spans="2:6" ht="17" thickBot="1" x14ac:dyDescent="0.25">
      <c r="B201" s="19" t="s">
        <v>139</v>
      </c>
      <c r="C201" s="22">
        <v>0</v>
      </c>
      <c r="D201" s="22">
        <v>7.2463768115942039E-3</v>
      </c>
      <c r="E201" s="22">
        <v>2.1739130434782608E-2</v>
      </c>
      <c r="F201" s="25">
        <v>0</v>
      </c>
    </row>
    <row r="202" spans="2:6" x14ac:dyDescent="0.2">
      <c r="B202" s="3" t="s">
        <v>593</v>
      </c>
    </row>
    <row r="205" spans="2:6" x14ac:dyDescent="0.2">
      <c r="B205" s="3" t="s">
        <v>594</v>
      </c>
    </row>
    <row r="206" spans="2:6" ht="17" thickBot="1" x14ac:dyDescent="0.25"/>
    <row r="207" spans="2:6" x14ac:dyDescent="0.2">
      <c r="B207" s="16"/>
      <c r="C207" s="17" t="s">
        <v>463</v>
      </c>
      <c r="D207" s="17" t="s">
        <v>464</v>
      </c>
      <c r="E207" s="17" t="s">
        <v>465</v>
      </c>
      <c r="F207" s="17" t="s">
        <v>139</v>
      </c>
    </row>
    <row r="208" spans="2:6" x14ac:dyDescent="0.2">
      <c r="B208" s="18">
        <v>117.17</v>
      </c>
      <c r="C208" s="23">
        <v>0</v>
      </c>
      <c r="D208" s="20">
        <v>7.246376811594203E-3</v>
      </c>
      <c r="E208" s="20">
        <v>7.246376811594203E-3</v>
      </c>
      <c r="F208" s="20">
        <v>7.246376811594203E-3</v>
      </c>
    </row>
    <row r="209" spans="2:6" x14ac:dyDescent="0.2">
      <c r="B209" s="15">
        <v>120.14</v>
      </c>
      <c r="C209" s="21">
        <v>-7.246376811594203E-3</v>
      </c>
      <c r="D209" s="24">
        <v>0</v>
      </c>
      <c r="E209" s="21">
        <v>0</v>
      </c>
      <c r="F209" s="21">
        <v>0</v>
      </c>
    </row>
    <row r="210" spans="2:6" x14ac:dyDescent="0.2">
      <c r="B210" s="15">
        <v>120.17</v>
      </c>
      <c r="C210" s="21">
        <v>-7.246376811594203E-3</v>
      </c>
      <c r="D210" s="21">
        <v>0</v>
      </c>
      <c r="E210" s="24">
        <v>0</v>
      </c>
      <c r="F210" s="21">
        <v>0</v>
      </c>
    </row>
    <row r="211" spans="2:6" ht="17" thickBot="1" x14ac:dyDescent="0.25">
      <c r="B211" s="19" t="s">
        <v>139</v>
      </c>
      <c r="C211" s="22">
        <v>-7.246376811594203E-3</v>
      </c>
      <c r="D211" s="22">
        <v>0</v>
      </c>
      <c r="E211" s="22">
        <v>0</v>
      </c>
      <c r="F211" s="25">
        <v>0</v>
      </c>
    </row>
    <row r="212" spans="2:6" x14ac:dyDescent="0.2">
      <c r="B212" s="3" t="s">
        <v>469</v>
      </c>
    </row>
    <row r="215" spans="2:6" x14ac:dyDescent="0.2">
      <c r="B215" s="3" t="s">
        <v>595</v>
      </c>
    </row>
    <row r="216" spans="2:6" ht="17" thickBot="1" x14ac:dyDescent="0.25"/>
    <row r="217" spans="2:6" x14ac:dyDescent="0.2">
      <c r="B217" s="16"/>
      <c r="C217" s="17" t="s">
        <v>463</v>
      </c>
      <c r="D217" s="17" t="s">
        <v>464</v>
      </c>
      <c r="E217" s="17" t="s">
        <v>465</v>
      </c>
      <c r="F217" s="17" t="s">
        <v>139</v>
      </c>
    </row>
    <row r="218" spans="2:6" x14ac:dyDescent="0.2">
      <c r="B218" s="18">
        <v>117.17</v>
      </c>
      <c r="C218" s="23">
        <v>0</v>
      </c>
      <c r="D218" s="20">
        <v>1.4492753623188408E-2</v>
      </c>
      <c r="E218" s="20">
        <v>7.2463768115942039E-3</v>
      </c>
      <c r="F218" s="20">
        <v>-1.4492753623188408E-2</v>
      </c>
    </row>
    <row r="219" spans="2:6" x14ac:dyDescent="0.2">
      <c r="B219" s="15">
        <v>120.14</v>
      </c>
      <c r="C219" s="21">
        <v>-1.4492753623188408E-2</v>
      </c>
      <c r="D219" s="24">
        <v>0</v>
      </c>
      <c r="E219" s="21">
        <v>-7.2463768115942039E-3</v>
      </c>
      <c r="F219" s="21">
        <v>-2.8985507246376815E-2</v>
      </c>
    </row>
    <row r="220" spans="2:6" x14ac:dyDescent="0.2">
      <c r="B220" s="15">
        <v>120.17</v>
      </c>
      <c r="C220" s="21">
        <v>-7.2463768115942039E-3</v>
      </c>
      <c r="D220" s="21">
        <v>7.2463768115942039E-3</v>
      </c>
      <c r="E220" s="24">
        <v>0</v>
      </c>
      <c r="F220" s="21">
        <v>-2.1739130434782612E-2</v>
      </c>
    </row>
    <row r="221" spans="2:6" ht="17" thickBot="1" x14ac:dyDescent="0.25">
      <c r="B221" s="19" t="s">
        <v>139</v>
      </c>
      <c r="C221" s="22">
        <v>1.4492753623188408E-2</v>
      </c>
      <c r="D221" s="22">
        <v>2.8985507246376815E-2</v>
      </c>
      <c r="E221" s="22">
        <v>2.1739130434782612E-2</v>
      </c>
      <c r="F221" s="25">
        <v>0</v>
      </c>
    </row>
    <row r="222" spans="2:6" x14ac:dyDescent="0.2">
      <c r="B222" s="3" t="s">
        <v>487</v>
      </c>
    </row>
    <row r="225" spans="2:6" x14ac:dyDescent="0.2">
      <c r="B225" s="3" t="s">
        <v>596</v>
      </c>
    </row>
    <row r="226" spans="2:6" ht="17" thickBot="1" x14ac:dyDescent="0.25"/>
    <row r="227" spans="2:6" x14ac:dyDescent="0.2">
      <c r="B227" s="16"/>
      <c r="C227" s="17" t="s">
        <v>463</v>
      </c>
      <c r="D227" s="17" t="s">
        <v>464</v>
      </c>
      <c r="E227" s="17" t="s">
        <v>465</v>
      </c>
      <c r="F227" s="17" t="s">
        <v>139</v>
      </c>
    </row>
    <row r="228" spans="2:6" x14ac:dyDescent="0.2">
      <c r="B228" s="18">
        <v>117.17</v>
      </c>
      <c r="C228" s="23">
        <v>0</v>
      </c>
      <c r="D228" s="20">
        <v>-7.2463768115942021E-3</v>
      </c>
      <c r="E228" s="20">
        <v>0</v>
      </c>
      <c r="F228" s="20">
        <v>7.246376811594203E-3</v>
      </c>
    </row>
    <row r="229" spans="2:6" x14ac:dyDescent="0.2">
      <c r="B229" s="15">
        <v>120.14</v>
      </c>
      <c r="C229" s="21">
        <v>7.2463768115942021E-3</v>
      </c>
      <c r="D229" s="24">
        <v>0</v>
      </c>
      <c r="E229" s="21">
        <v>7.2463768115942021E-3</v>
      </c>
      <c r="F229" s="21">
        <v>1.4492753623188404E-2</v>
      </c>
    </row>
    <row r="230" spans="2:6" x14ac:dyDescent="0.2">
      <c r="B230" s="15">
        <v>120.17</v>
      </c>
      <c r="C230" s="21">
        <v>0</v>
      </c>
      <c r="D230" s="21">
        <v>-7.2463768115942021E-3</v>
      </c>
      <c r="E230" s="24">
        <v>0</v>
      </c>
      <c r="F230" s="21">
        <v>7.246376811594203E-3</v>
      </c>
    </row>
    <row r="231" spans="2:6" ht="17" thickBot="1" x14ac:dyDescent="0.25">
      <c r="B231" s="19" t="s">
        <v>139</v>
      </c>
      <c r="C231" s="22">
        <v>-7.246376811594203E-3</v>
      </c>
      <c r="D231" s="22">
        <v>-1.4492753623188404E-2</v>
      </c>
      <c r="E231" s="22">
        <v>-7.246376811594203E-3</v>
      </c>
      <c r="F231" s="25">
        <v>0</v>
      </c>
    </row>
    <row r="232" spans="2:6" x14ac:dyDescent="0.2">
      <c r="B232" s="3" t="s">
        <v>467</v>
      </c>
    </row>
    <row r="235" spans="2:6" x14ac:dyDescent="0.2">
      <c r="B235" s="3" t="s">
        <v>597</v>
      </c>
    </row>
    <row r="236" spans="2:6" ht="17" thickBot="1" x14ac:dyDescent="0.25"/>
    <row r="237" spans="2:6" x14ac:dyDescent="0.2">
      <c r="B237" s="16"/>
      <c r="C237" s="17" t="s">
        <v>463</v>
      </c>
      <c r="D237" s="17" t="s">
        <v>464</v>
      </c>
      <c r="E237" s="17" t="s">
        <v>465</v>
      </c>
      <c r="F237" s="17" t="s">
        <v>139</v>
      </c>
    </row>
    <row r="238" spans="2:6" x14ac:dyDescent="0.2">
      <c r="B238" s="18">
        <v>117.17</v>
      </c>
      <c r="C238" s="23">
        <v>0</v>
      </c>
      <c r="D238" s="20">
        <v>-2.1739130434782608E-2</v>
      </c>
      <c r="E238" s="20">
        <v>7.246376811594203E-3</v>
      </c>
      <c r="F238" s="20">
        <v>-7.246376811594203E-3</v>
      </c>
    </row>
    <row r="239" spans="2:6" x14ac:dyDescent="0.2">
      <c r="B239" s="15">
        <v>120.14</v>
      </c>
      <c r="C239" s="21">
        <v>2.1739130434782608E-2</v>
      </c>
      <c r="D239" s="24">
        <v>0</v>
      </c>
      <c r="E239" s="21">
        <v>2.8985507246376812E-2</v>
      </c>
      <c r="F239" s="21">
        <v>1.4492753623188406E-2</v>
      </c>
    </row>
    <row r="240" spans="2:6" x14ac:dyDescent="0.2">
      <c r="B240" s="15">
        <v>120.17</v>
      </c>
      <c r="C240" s="21">
        <v>-7.246376811594203E-3</v>
      </c>
      <c r="D240" s="21">
        <v>-2.8985507246376812E-2</v>
      </c>
      <c r="E240" s="24">
        <v>0</v>
      </c>
      <c r="F240" s="21">
        <v>-1.4492753623188406E-2</v>
      </c>
    </row>
    <row r="241" spans="2:6" ht="17" thickBot="1" x14ac:dyDescent="0.25">
      <c r="B241" s="19" t="s">
        <v>139</v>
      </c>
      <c r="C241" s="22">
        <v>7.246376811594203E-3</v>
      </c>
      <c r="D241" s="22">
        <v>-1.4492753623188406E-2</v>
      </c>
      <c r="E241" s="22">
        <v>1.4492753623188406E-2</v>
      </c>
      <c r="F241" s="25">
        <v>0</v>
      </c>
    </row>
    <row r="242" spans="2:6" x14ac:dyDescent="0.2">
      <c r="B242" s="3" t="s">
        <v>598</v>
      </c>
    </row>
    <row r="245" spans="2:6" x14ac:dyDescent="0.2">
      <c r="B245" s="3" t="s">
        <v>599</v>
      </c>
    </row>
    <row r="246" spans="2:6" ht="17" thickBot="1" x14ac:dyDescent="0.25"/>
    <row r="247" spans="2:6" x14ac:dyDescent="0.2">
      <c r="B247" s="16"/>
      <c r="C247" s="17" t="s">
        <v>463</v>
      </c>
      <c r="D247" s="17" t="s">
        <v>464</v>
      </c>
      <c r="E247" s="17" t="s">
        <v>465</v>
      </c>
      <c r="F247" s="17" t="s">
        <v>139</v>
      </c>
    </row>
    <row r="248" spans="2:6" x14ac:dyDescent="0.2">
      <c r="B248" s="18">
        <v>117.17</v>
      </c>
      <c r="C248" s="23">
        <v>0</v>
      </c>
      <c r="D248" s="20">
        <v>-7.2463768115942021E-3</v>
      </c>
      <c r="E248" s="20">
        <v>-7.2463768115942021E-3</v>
      </c>
      <c r="F248" s="20">
        <v>-7.2463768115942021E-3</v>
      </c>
    </row>
    <row r="249" spans="2:6" x14ac:dyDescent="0.2">
      <c r="B249" s="15">
        <v>120.14</v>
      </c>
      <c r="C249" s="21">
        <v>7.2463768115942021E-3</v>
      </c>
      <c r="D249" s="24">
        <v>0</v>
      </c>
      <c r="E249" s="21">
        <v>0</v>
      </c>
      <c r="F249" s="21">
        <v>0</v>
      </c>
    </row>
    <row r="250" spans="2:6" x14ac:dyDescent="0.2">
      <c r="B250" s="15">
        <v>120.17</v>
      </c>
      <c r="C250" s="21">
        <v>7.2463768115942021E-3</v>
      </c>
      <c r="D250" s="21">
        <v>0</v>
      </c>
      <c r="E250" s="24">
        <v>0</v>
      </c>
      <c r="F250" s="21">
        <v>0</v>
      </c>
    </row>
    <row r="251" spans="2:6" ht="17" thickBot="1" x14ac:dyDescent="0.25">
      <c r="B251" s="19" t="s">
        <v>139</v>
      </c>
      <c r="C251" s="22">
        <v>7.2463768115942021E-3</v>
      </c>
      <c r="D251" s="22">
        <v>0</v>
      </c>
      <c r="E251" s="22">
        <v>0</v>
      </c>
      <c r="F251" s="25">
        <v>0</v>
      </c>
    </row>
    <row r="252" spans="2:6" x14ac:dyDescent="0.2">
      <c r="B252" s="3" t="s">
        <v>556</v>
      </c>
    </row>
    <row r="255" spans="2:6" x14ac:dyDescent="0.2">
      <c r="B255" s="3" t="s">
        <v>600</v>
      </c>
    </row>
    <row r="256" spans="2:6" ht="17" thickBot="1" x14ac:dyDescent="0.25"/>
    <row r="257" spans="2:6" x14ac:dyDescent="0.2">
      <c r="B257" s="16"/>
      <c r="C257" s="17" t="s">
        <v>463</v>
      </c>
      <c r="D257" s="17" t="s">
        <v>464</v>
      </c>
      <c r="E257" s="17" t="s">
        <v>465</v>
      </c>
      <c r="F257" s="17" t="s">
        <v>139</v>
      </c>
    </row>
    <row r="258" spans="2:6" x14ac:dyDescent="0.2">
      <c r="B258" s="18">
        <v>117.17</v>
      </c>
      <c r="C258" s="23">
        <v>0</v>
      </c>
      <c r="D258" s="20">
        <v>7.246376811594203E-3</v>
      </c>
      <c r="E258" s="20">
        <v>-7.246376811594203E-3</v>
      </c>
      <c r="F258" s="20">
        <v>-7.246376811594203E-3</v>
      </c>
    </row>
    <row r="259" spans="2:6" x14ac:dyDescent="0.2">
      <c r="B259" s="15">
        <v>120.14</v>
      </c>
      <c r="C259" s="21">
        <v>-7.246376811594203E-3</v>
      </c>
      <c r="D259" s="24">
        <v>0</v>
      </c>
      <c r="E259" s="21">
        <v>-1.4492753623188406E-2</v>
      </c>
      <c r="F259" s="21">
        <v>-1.4492753623188406E-2</v>
      </c>
    </row>
    <row r="260" spans="2:6" x14ac:dyDescent="0.2">
      <c r="B260" s="15">
        <v>120.17</v>
      </c>
      <c r="C260" s="21">
        <v>7.246376811594203E-3</v>
      </c>
      <c r="D260" s="21">
        <v>1.4492753623188406E-2</v>
      </c>
      <c r="E260" s="24">
        <v>0</v>
      </c>
      <c r="F260" s="21">
        <v>0</v>
      </c>
    </row>
    <row r="261" spans="2:6" ht="17" thickBot="1" x14ac:dyDescent="0.25">
      <c r="B261" s="19" t="s">
        <v>139</v>
      </c>
      <c r="C261" s="22">
        <v>7.246376811594203E-3</v>
      </c>
      <c r="D261" s="22">
        <v>1.4492753623188406E-2</v>
      </c>
      <c r="E261" s="22">
        <v>0</v>
      </c>
      <c r="F261" s="25">
        <v>0</v>
      </c>
    </row>
    <row r="262" spans="2:6" x14ac:dyDescent="0.2">
      <c r="B262" s="3" t="s">
        <v>473</v>
      </c>
    </row>
    <row r="265" spans="2:6" x14ac:dyDescent="0.2">
      <c r="B265" s="3" t="s">
        <v>601</v>
      </c>
    </row>
    <row r="266" spans="2:6" ht="17" thickBot="1" x14ac:dyDescent="0.25"/>
    <row r="267" spans="2:6" x14ac:dyDescent="0.2">
      <c r="B267" s="16"/>
      <c r="C267" s="17" t="s">
        <v>463</v>
      </c>
      <c r="D267" s="17" t="s">
        <v>464</v>
      </c>
      <c r="E267" s="17" t="s">
        <v>465</v>
      </c>
      <c r="F267" s="17" t="s">
        <v>139</v>
      </c>
    </row>
    <row r="268" spans="2:6" x14ac:dyDescent="0.2">
      <c r="B268" s="18">
        <v>117.17</v>
      </c>
      <c r="C268" s="23">
        <v>0</v>
      </c>
      <c r="D268" s="20">
        <v>4.3478260869565209E-2</v>
      </c>
      <c r="E268" s="31">
        <v>7.2463768115942018E-2</v>
      </c>
      <c r="F268" s="20">
        <v>2.8985507246376802E-2</v>
      </c>
    </row>
    <row r="269" spans="2:6" x14ac:dyDescent="0.2">
      <c r="B269" s="15">
        <v>120.14</v>
      </c>
      <c r="C269" s="21">
        <v>-4.3478260869565209E-2</v>
      </c>
      <c r="D269" s="24">
        <v>0</v>
      </c>
      <c r="E269" s="21">
        <v>2.8985507246376812E-2</v>
      </c>
      <c r="F269" s="21">
        <v>-1.4492753623188408E-2</v>
      </c>
    </row>
    <row r="270" spans="2:6" x14ac:dyDescent="0.2">
      <c r="B270" s="15">
        <v>120.17</v>
      </c>
      <c r="C270" s="33">
        <v>-7.2463768115942018E-2</v>
      </c>
      <c r="D270" s="21">
        <v>-2.8985507246376812E-2</v>
      </c>
      <c r="E270" s="24">
        <v>0</v>
      </c>
      <c r="F270" s="21">
        <v>-4.3478260869565223E-2</v>
      </c>
    </row>
    <row r="271" spans="2:6" ht="17" thickBot="1" x14ac:dyDescent="0.25">
      <c r="B271" s="19" t="s">
        <v>139</v>
      </c>
      <c r="C271" s="22">
        <v>-2.8985507246376802E-2</v>
      </c>
      <c r="D271" s="22">
        <v>1.4492753623188408E-2</v>
      </c>
      <c r="E271" s="22">
        <v>4.3478260869565223E-2</v>
      </c>
      <c r="F271" s="25">
        <v>0</v>
      </c>
    </row>
    <row r="272" spans="2:6" x14ac:dyDescent="0.2">
      <c r="B272" s="3" t="s">
        <v>602</v>
      </c>
    </row>
    <row r="275" spans="2:23" x14ac:dyDescent="0.2">
      <c r="B275" s="3" t="s">
        <v>501</v>
      </c>
    </row>
    <row r="276" spans="2:23" ht="17" thickBot="1" x14ac:dyDescent="0.25"/>
    <row r="277" spans="2:23" ht="34" x14ac:dyDescent="0.2">
      <c r="B277" s="5" t="s">
        <v>502</v>
      </c>
      <c r="C277" s="6" t="s">
        <v>22</v>
      </c>
      <c r="D277" s="6" t="s">
        <v>27</v>
      </c>
      <c r="E277" s="6" t="s">
        <v>29</v>
      </c>
      <c r="F277" s="6" t="s">
        <v>32</v>
      </c>
      <c r="G277" s="6" t="s">
        <v>40</v>
      </c>
      <c r="H277" s="6" t="s">
        <v>44</v>
      </c>
      <c r="I277" s="6" t="s">
        <v>51</v>
      </c>
      <c r="J277" s="6" t="s">
        <v>58</v>
      </c>
      <c r="K277" s="6" t="s">
        <v>84</v>
      </c>
      <c r="L277" s="6" t="s">
        <v>88</v>
      </c>
      <c r="M277" s="6" t="s">
        <v>93</v>
      </c>
      <c r="N277" s="6" t="s">
        <v>98</v>
      </c>
      <c r="O277" s="6" t="s">
        <v>99</v>
      </c>
      <c r="P277" s="6" t="s">
        <v>103</v>
      </c>
      <c r="Q277" s="6" t="s">
        <v>105</v>
      </c>
      <c r="R277" s="6" t="s">
        <v>108</v>
      </c>
      <c r="S277" s="6" t="s">
        <v>112</v>
      </c>
      <c r="T277" s="6" t="s">
        <v>115</v>
      </c>
      <c r="U277" s="6" t="s">
        <v>122</v>
      </c>
      <c r="V277" s="6" t="s">
        <v>129</v>
      </c>
      <c r="W277" s="6" t="s">
        <v>134</v>
      </c>
    </row>
    <row r="278" spans="2:23" x14ac:dyDescent="0.2">
      <c r="B278" s="7" t="s">
        <v>463</v>
      </c>
      <c r="C278" s="23">
        <v>5</v>
      </c>
      <c r="D278" s="23">
        <v>1</v>
      </c>
      <c r="E278" s="23">
        <v>1</v>
      </c>
      <c r="F278" s="23">
        <v>13</v>
      </c>
      <c r="G278" s="23">
        <v>2</v>
      </c>
      <c r="H278" s="23">
        <v>10</v>
      </c>
      <c r="I278" s="23">
        <v>5</v>
      </c>
      <c r="J278" s="23">
        <v>19</v>
      </c>
      <c r="K278" s="23">
        <v>8</v>
      </c>
      <c r="L278" s="23">
        <v>3</v>
      </c>
      <c r="M278" s="23">
        <v>0</v>
      </c>
      <c r="N278" s="23">
        <v>0</v>
      </c>
      <c r="O278" s="23">
        <v>5</v>
      </c>
      <c r="P278" s="23">
        <v>4</v>
      </c>
      <c r="Q278" s="23">
        <v>1</v>
      </c>
      <c r="R278" s="23">
        <v>5</v>
      </c>
      <c r="S278" s="23">
        <v>2</v>
      </c>
      <c r="T278" s="23">
        <v>1</v>
      </c>
      <c r="U278" s="23">
        <v>2</v>
      </c>
      <c r="V278" s="23">
        <v>1</v>
      </c>
      <c r="W278" s="23">
        <v>11</v>
      </c>
    </row>
    <row r="279" spans="2:23" x14ac:dyDescent="0.2">
      <c r="B279" s="4" t="s">
        <v>464</v>
      </c>
      <c r="C279" s="24">
        <v>3</v>
      </c>
      <c r="D279" s="24">
        <v>0</v>
      </c>
      <c r="E279" s="24">
        <v>1</v>
      </c>
      <c r="F279" s="24">
        <v>16</v>
      </c>
      <c r="G279" s="24">
        <v>1</v>
      </c>
      <c r="H279" s="24">
        <v>12</v>
      </c>
      <c r="I279" s="24">
        <v>4</v>
      </c>
      <c r="J279" s="24">
        <v>21</v>
      </c>
      <c r="K279" s="24">
        <v>4</v>
      </c>
      <c r="L279" s="24">
        <v>1</v>
      </c>
      <c r="M279" s="24">
        <v>0</v>
      </c>
      <c r="N279" s="24">
        <v>2</v>
      </c>
      <c r="O279" s="24">
        <v>7</v>
      </c>
      <c r="P279" s="24">
        <v>3</v>
      </c>
      <c r="Q279" s="24">
        <v>0</v>
      </c>
      <c r="R279" s="24">
        <v>3</v>
      </c>
      <c r="S279" s="24">
        <v>3</v>
      </c>
      <c r="T279" s="24">
        <v>4</v>
      </c>
      <c r="U279" s="24">
        <v>3</v>
      </c>
      <c r="V279" s="24">
        <v>0</v>
      </c>
      <c r="W279" s="24">
        <v>5</v>
      </c>
    </row>
    <row r="280" spans="2:23" x14ac:dyDescent="0.2">
      <c r="B280" s="4" t="s">
        <v>465</v>
      </c>
      <c r="C280" s="24">
        <v>4</v>
      </c>
      <c r="D280" s="24">
        <v>1</v>
      </c>
      <c r="E280" s="24">
        <v>2</v>
      </c>
      <c r="F280" s="24">
        <v>15</v>
      </c>
      <c r="G280" s="24">
        <v>1</v>
      </c>
      <c r="H280" s="24">
        <v>7</v>
      </c>
      <c r="I280" s="24">
        <v>12</v>
      </c>
      <c r="J280" s="24">
        <v>21</v>
      </c>
      <c r="K280" s="24">
        <v>4</v>
      </c>
      <c r="L280" s="24">
        <v>2</v>
      </c>
      <c r="M280" s="24">
        <v>0</v>
      </c>
      <c r="N280" s="24">
        <v>1</v>
      </c>
      <c r="O280" s="24">
        <v>3</v>
      </c>
      <c r="P280" s="24">
        <v>1</v>
      </c>
      <c r="Q280" s="24">
        <v>0</v>
      </c>
      <c r="R280" s="24">
        <v>4</v>
      </c>
      <c r="S280" s="24">
        <v>2</v>
      </c>
      <c r="T280" s="24">
        <v>0</v>
      </c>
      <c r="U280" s="24">
        <v>3</v>
      </c>
      <c r="V280" s="24">
        <v>2</v>
      </c>
      <c r="W280" s="24">
        <v>1</v>
      </c>
    </row>
    <row r="281" spans="2:23" ht="17" thickBot="1" x14ac:dyDescent="0.25">
      <c r="B281" s="8" t="s">
        <v>139</v>
      </c>
      <c r="C281" s="25">
        <v>7</v>
      </c>
      <c r="D281" s="25">
        <v>0</v>
      </c>
      <c r="E281" s="25">
        <v>0</v>
      </c>
      <c r="F281" s="25">
        <v>14</v>
      </c>
      <c r="G281" s="25">
        <v>0</v>
      </c>
      <c r="H281" s="25">
        <v>7</v>
      </c>
      <c r="I281" s="25">
        <v>10</v>
      </c>
      <c r="J281" s="25">
        <v>20</v>
      </c>
      <c r="K281" s="25">
        <v>7</v>
      </c>
      <c r="L281" s="25">
        <v>3</v>
      </c>
      <c r="M281" s="25">
        <v>0</v>
      </c>
      <c r="N281" s="25">
        <v>2</v>
      </c>
      <c r="O281" s="25">
        <v>6</v>
      </c>
      <c r="P281" s="25">
        <v>4</v>
      </c>
      <c r="Q281" s="25">
        <v>0</v>
      </c>
      <c r="R281" s="25">
        <v>7</v>
      </c>
      <c r="S281" s="25">
        <v>1</v>
      </c>
      <c r="T281" s="25">
        <v>2</v>
      </c>
      <c r="U281" s="25">
        <v>3</v>
      </c>
      <c r="V281" s="25">
        <v>2</v>
      </c>
      <c r="W281" s="25">
        <v>7</v>
      </c>
    </row>
    <row r="284" spans="2:23" x14ac:dyDescent="0.2">
      <c r="B284" s="3" t="s">
        <v>603</v>
      </c>
    </row>
    <row r="285" spans="2:23" ht="17" thickBot="1" x14ac:dyDescent="0.25"/>
    <row r="286" spans="2:23" ht="17" x14ac:dyDescent="0.2">
      <c r="B286" s="6" t="s">
        <v>604</v>
      </c>
    </row>
    <row r="287" spans="2:23" ht="17" thickBot="1" x14ac:dyDescent="0.25">
      <c r="B287" s="36" t="s">
        <v>93</v>
      </c>
    </row>
    <row r="290" spans="2:10" x14ac:dyDescent="0.2">
      <c r="B290" s="3" t="s">
        <v>503</v>
      </c>
    </row>
    <row r="291" spans="2:10" ht="17" thickBot="1" x14ac:dyDescent="0.25"/>
    <row r="292" spans="2:10" x14ac:dyDescent="0.2">
      <c r="B292" s="26" t="s">
        <v>504</v>
      </c>
      <c r="C292" s="27">
        <v>46.397787914606788</v>
      </c>
    </row>
    <row r="293" spans="2:10" x14ac:dyDescent="0.2">
      <c r="B293" s="15" t="s">
        <v>505</v>
      </c>
      <c r="C293" s="13">
        <v>75.623748469380644</v>
      </c>
    </row>
    <row r="294" spans="2:10" x14ac:dyDescent="0.2">
      <c r="B294" s="15" t="s">
        <v>506</v>
      </c>
      <c r="C294" s="28">
        <v>57</v>
      </c>
    </row>
    <row r="295" spans="2:10" x14ac:dyDescent="0.2">
      <c r="B295" s="15" t="s">
        <v>507</v>
      </c>
      <c r="C295" s="13">
        <v>0.84103644575179171</v>
      </c>
    </row>
    <row r="296" spans="2:10" ht="17" thickBot="1" x14ac:dyDescent="0.25">
      <c r="B296" s="19" t="s">
        <v>508</v>
      </c>
      <c r="C296" s="29">
        <v>0.05</v>
      </c>
    </row>
    <row r="298" spans="2:10" x14ac:dyDescent="0.2">
      <c r="B298" s="3" t="s">
        <v>509</v>
      </c>
    </row>
    <row r="299" spans="2:10" x14ac:dyDescent="0.2">
      <c r="B299" s="3" t="s">
        <v>510</v>
      </c>
    </row>
    <row r="300" spans="2:10" x14ac:dyDescent="0.2">
      <c r="B300" s="3" t="s">
        <v>511</v>
      </c>
    </row>
    <row r="301" spans="2:10" ht="16" customHeight="1" x14ac:dyDescent="0.2">
      <c r="B301" s="46" t="s">
        <v>512</v>
      </c>
      <c r="C301" s="46"/>
      <c r="D301" s="46"/>
      <c r="E301" s="46"/>
      <c r="F301" s="46"/>
      <c r="G301" s="46"/>
      <c r="H301" s="46"/>
      <c r="I301" s="46"/>
      <c r="J301" s="46"/>
    </row>
    <row r="302" spans="2:10" x14ac:dyDescent="0.2">
      <c r="B302" s="46"/>
      <c r="C302" s="46"/>
      <c r="D302" s="46"/>
      <c r="E302" s="46"/>
      <c r="F302" s="46"/>
      <c r="G302" s="46"/>
      <c r="H302" s="46"/>
      <c r="I302" s="46"/>
      <c r="J302" s="46"/>
    </row>
    <row r="305" spans="2:5" x14ac:dyDescent="0.2">
      <c r="B305" s="3" t="s">
        <v>513</v>
      </c>
    </row>
    <row r="306" spans="2:5" ht="17" thickBot="1" x14ac:dyDescent="0.25"/>
    <row r="307" spans="2:5" ht="17" x14ac:dyDescent="0.2">
      <c r="B307" s="5"/>
      <c r="C307" s="6" t="s">
        <v>514</v>
      </c>
      <c r="D307" s="6" t="s">
        <v>515</v>
      </c>
      <c r="E307" s="6" t="s">
        <v>516</v>
      </c>
    </row>
    <row r="308" spans="2:5" x14ac:dyDescent="0.2">
      <c r="B308" s="7" t="s">
        <v>517</v>
      </c>
      <c r="C308" s="20">
        <v>5.4578203449414477E-2</v>
      </c>
      <c r="D308" s="20">
        <v>4.140138768505456E-2</v>
      </c>
      <c r="E308" s="20">
        <v>2.6119850746075195E-2</v>
      </c>
    </row>
    <row r="309" spans="2:5" x14ac:dyDescent="0.2">
      <c r="B309" s="4" t="s">
        <v>518</v>
      </c>
      <c r="C309" s="21">
        <v>44.699797647569078</v>
      </c>
      <c r="D309" s="21">
        <v>33.907925415055985</v>
      </c>
      <c r="E309" s="21">
        <v>21.392276937374952</v>
      </c>
    </row>
    <row r="310" spans="2:5" ht="17" thickBot="1" x14ac:dyDescent="0.25">
      <c r="B310" s="8" t="s">
        <v>519</v>
      </c>
      <c r="C310" s="22">
        <v>44.699797647569078</v>
      </c>
      <c r="D310" s="22">
        <v>78.60772306262507</v>
      </c>
      <c r="E310" s="22">
        <v>100.00000000000003</v>
      </c>
    </row>
    <row r="328" spans="6:6" x14ac:dyDescent="0.2">
      <c r="F328" t="s">
        <v>520</v>
      </c>
    </row>
    <row r="346" spans="2:6" x14ac:dyDescent="0.2">
      <c r="F346" t="s">
        <v>520</v>
      </c>
    </row>
    <row r="349" spans="2:6" x14ac:dyDescent="0.2">
      <c r="B349" s="1" t="s">
        <v>521</v>
      </c>
    </row>
    <row r="351" spans="2:6" x14ac:dyDescent="0.2">
      <c r="B351" s="3" t="s">
        <v>522</v>
      </c>
    </row>
    <row r="352" spans="2:6" ht="17" thickBot="1" x14ac:dyDescent="0.25"/>
    <row r="353" spans="2:24" ht="34" x14ac:dyDescent="0.2">
      <c r="B353" s="5"/>
      <c r="C353" s="6" t="s">
        <v>22</v>
      </c>
      <c r="D353" s="6" t="s">
        <v>27</v>
      </c>
      <c r="E353" s="6" t="s">
        <v>29</v>
      </c>
      <c r="F353" s="6" t="s">
        <v>32</v>
      </c>
      <c r="G353" s="6" t="s">
        <v>40</v>
      </c>
      <c r="H353" s="6" t="s">
        <v>44</v>
      </c>
      <c r="I353" s="6" t="s">
        <v>51</v>
      </c>
      <c r="J353" s="6" t="s">
        <v>58</v>
      </c>
      <c r="K353" s="6" t="s">
        <v>84</v>
      </c>
      <c r="L353" s="6" t="s">
        <v>88</v>
      </c>
      <c r="M353" s="6" t="s">
        <v>93</v>
      </c>
      <c r="N353" s="6" t="s">
        <v>98</v>
      </c>
      <c r="O353" s="6" t="s">
        <v>99</v>
      </c>
      <c r="P353" s="6" t="s">
        <v>103</v>
      </c>
      <c r="Q353" s="6" t="s">
        <v>105</v>
      </c>
      <c r="R353" s="6" t="s">
        <v>108</v>
      </c>
      <c r="S353" s="6" t="s">
        <v>112</v>
      </c>
      <c r="T353" s="6" t="s">
        <v>115</v>
      </c>
      <c r="U353" s="6" t="s">
        <v>122</v>
      </c>
      <c r="V353" s="6" t="s">
        <v>129</v>
      </c>
      <c r="W353" s="6" t="s">
        <v>134</v>
      </c>
      <c r="X353" s="30"/>
    </row>
    <row r="354" spans="2:24" x14ac:dyDescent="0.2">
      <c r="B354" s="7" t="s">
        <v>22</v>
      </c>
      <c r="C354" s="32">
        <v>1</v>
      </c>
      <c r="D354" s="20">
        <v>-0.58701700000000001</v>
      </c>
      <c r="E354" s="20">
        <v>0.657443</v>
      </c>
      <c r="F354" s="20">
        <v>4.73E-4</v>
      </c>
      <c r="G354" s="20">
        <v>-0.61576600000000004</v>
      </c>
      <c r="H354" s="20">
        <v>-0.76332699999999998</v>
      </c>
      <c r="I354" s="20">
        <v>-1.4385999999999999E-2</v>
      </c>
      <c r="J354" s="20">
        <v>0.11310199999999999</v>
      </c>
      <c r="K354" s="20">
        <v>0.22973399999999999</v>
      </c>
      <c r="L354" s="20">
        <v>0.254334</v>
      </c>
      <c r="M354" s="20"/>
      <c r="N354" s="20">
        <v>-0.62583999999999995</v>
      </c>
      <c r="O354" s="20">
        <v>-0.73087400000000002</v>
      </c>
      <c r="P354" s="20">
        <v>0.38391799999999998</v>
      </c>
      <c r="Q354" s="20">
        <v>-0.51870000000000005</v>
      </c>
      <c r="R354" s="20">
        <v>1</v>
      </c>
      <c r="S354" s="20">
        <v>0.27994799999999997</v>
      </c>
      <c r="T354" s="20">
        <v>-0.64186900000000002</v>
      </c>
      <c r="U354" s="20">
        <v>0.21091399999999999</v>
      </c>
      <c r="V354" s="20">
        <v>-0.62583999999999995</v>
      </c>
      <c r="W354" s="20">
        <v>-0.73859900000000001</v>
      </c>
      <c r="X354" s="30"/>
    </row>
    <row r="355" spans="2:24" x14ac:dyDescent="0.2">
      <c r="B355" s="4" t="s">
        <v>27</v>
      </c>
      <c r="C355" s="21">
        <v>-0.58701700000000001</v>
      </c>
      <c r="D355" s="34">
        <v>1</v>
      </c>
      <c r="E355" s="21">
        <v>0.81984800000000002</v>
      </c>
      <c r="F355" s="21">
        <v>-0.66153700000000004</v>
      </c>
      <c r="G355" s="21">
        <v>-0.468333</v>
      </c>
      <c r="H355" s="21">
        <v>-0.62686699999999995</v>
      </c>
      <c r="I355" s="21">
        <v>0.53107899999999997</v>
      </c>
      <c r="J355" s="21">
        <v>-0.688967</v>
      </c>
      <c r="K355" s="21">
        <v>-0.59823800000000005</v>
      </c>
      <c r="L355" s="21">
        <v>-0.50432500000000002</v>
      </c>
      <c r="M355" s="21"/>
      <c r="N355" s="21">
        <v>-0.47754999999999997</v>
      </c>
      <c r="O355" s="21">
        <v>-0.59282699999999999</v>
      </c>
      <c r="P355" s="21">
        <v>-0.51893199999999995</v>
      </c>
      <c r="Q355" s="21">
        <v>-0.368062</v>
      </c>
      <c r="R355" s="21">
        <v>-0.58701700000000001</v>
      </c>
      <c r="S355" s="21">
        <v>-0.498645</v>
      </c>
      <c r="T355" s="21">
        <v>-0.49240499999999998</v>
      </c>
      <c r="U355" s="21">
        <v>-0.51439900000000005</v>
      </c>
      <c r="V355" s="21">
        <v>-0.47754999999999997</v>
      </c>
      <c r="W355" s="21">
        <v>-0.60081300000000004</v>
      </c>
      <c r="X355" s="30"/>
    </row>
    <row r="356" spans="2:24" x14ac:dyDescent="0.2">
      <c r="B356" s="4" t="s">
        <v>29</v>
      </c>
      <c r="C356" s="21">
        <v>0.657443</v>
      </c>
      <c r="D356" s="21">
        <v>0.81984800000000002</v>
      </c>
      <c r="E356" s="34">
        <v>1</v>
      </c>
      <c r="F356" s="21">
        <v>0.213841</v>
      </c>
      <c r="G356" s="21">
        <v>-0.49529600000000001</v>
      </c>
      <c r="H356" s="21">
        <v>-0.65631600000000001</v>
      </c>
      <c r="I356" s="21">
        <v>-0.64622800000000002</v>
      </c>
      <c r="J356" s="21">
        <v>-0.745896</v>
      </c>
      <c r="K356" s="21">
        <v>-0.62721400000000005</v>
      </c>
      <c r="L356" s="21">
        <v>-0.57567699999999999</v>
      </c>
      <c r="M356" s="21"/>
      <c r="N356" s="21">
        <v>-0.50489799999999996</v>
      </c>
      <c r="O356" s="21">
        <v>-0.62169600000000003</v>
      </c>
      <c r="P356" s="21">
        <v>-0.59029299999999996</v>
      </c>
      <c r="Q356" s="21">
        <v>-0.39213900000000002</v>
      </c>
      <c r="R356" s="21">
        <v>0.657443</v>
      </c>
      <c r="S356" s="21">
        <v>-0.56996199999999997</v>
      </c>
      <c r="T356" s="21">
        <v>-0.56366000000000005</v>
      </c>
      <c r="U356" s="21">
        <v>-0.58577100000000004</v>
      </c>
      <c r="V356" s="21">
        <v>-0.50489799999999996</v>
      </c>
      <c r="W356" s="21">
        <v>-0.62983800000000001</v>
      </c>
      <c r="X356" s="30"/>
    </row>
    <row r="357" spans="2:24" x14ac:dyDescent="0.2">
      <c r="B357" s="4" t="s">
        <v>32</v>
      </c>
      <c r="C357" s="21">
        <v>4.73E-4</v>
      </c>
      <c r="D357" s="21">
        <v>-0.66153700000000004</v>
      </c>
      <c r="E357" s="21">
        <v>0.213841</v>
      </c>
      <c r="F357" s="34">
        <v>1</v>
      </c>
      <c r="G357" s="21">
        <v>-0.72037700000000005</v>
      </c>
      <c r="H357" s="21">
        <v>-6.5313999999999997E-2</v>
      </c>
      <c r="I357" s="21">
        <v>-2.3185000000000001E-2</v>
      </c>
      <c r="J357" s="21">
        <v>-0.17161899999999999</v>
      </c>
      <c r="K357" s="21">
        <v>-0.20031499999999999</v>
      </c>
      <c r="L357" s="21">
        <v>1.3074000000000001E-2</v>
      </c>
      <c r="M357" s="21"/>
      <c r="N357" s="21">
        <v>-0.73004100000000005</v>
      </c>
      <c r="O357" s="21">
        <v>-2.5583999999999999E-2</v>
      </c>
      <c r="P357" s="21">
        <v>-0.77123600000000003</v>
      </c>
      <c r="Q357" s="21">
        <v>0.92953699999999995</v>
      </c>
      <c r="R357" s="21">
        <v>4.73E-4</v>
      </c>
      <c r="S357" s="21">
        <v>-0.75148400000000004</v>
      </c>
      <c r="T357" s="21">
        <v>7.2818999999999995E-2</v>
      </c>
      <c r="U357" s="21">
        <v>0.55831600000000003</v>
      </c>
      <c r="V357" s="21">
        <v>0.15595999999999999</v>
      </c>
      <c r="W357" s="21">
        <v>-0.80789699999999998</v>
      </c>
      <c r="X357" s="30"/>
    </row>
    <row r="358" spans="2:24" x14ac:dyDescent="0.2">
      <c r="B358" s="4" t="s">
        <v>40</v>
      </c>
      <c r="C358" s="21">
        <v>-0.61576600000000004</v>
      </c>
      <c r="D358" s="21">
        <v>-0.468333</v>
      </c>
      <c r="E358" s="21">
        <v>-0.49529600000000001</v>
      </c>
      <c r="F358" s="21">
        <v>-0.72037700000000005</v>
      </c>
      <c r="G358" s="34">
        <v>1</v>
      </c>
      <c r="H358" s="21">
        <v>-0.65631600000000001</v>
      </c>
      <c r="I358" s="21">
        <v>-0.64622800000000002</v>
      </c>
      <c r="J358" s="21">
        <v>-0.745896</v>
      </c>
      <c r="K358" s="21">
        <v>-0.62721400000000005</v>
      </c>
      <c r="L358" s="21">
        <v>-0.57567699999999999</v>
      </c>
      <c r="M358" s="21"/>
      <c r="N358" s="21">
        <v>-0.50489799999999996</v>
      </c>
      <c r="O358" s="21">
        <v>-0.62169600000000003</v>
      </c>
      <c r="P358" s="21">
        <v>-0.59029299999999996</v>
      </c>
      <c r="Q358" s="21">
        <v>-0.39213900000000002</v>
      </c>
      <c r="R358" s="21">
        <v>-0.61576600000000004</v>
      </c>
      <c r="S358" s="21">
        <v>-0.56996199999999997</v>
      </c>
      <c r="T358" s="21">
        <v>-0.56366000000000005</v>
      </c>
      <c r="U358" s="21">
        <v>-0.58577100000000004</v>
      </c>
      <c r="V358" s="21">
        <v>-0.50489799999999996</v>
      </c>
      <c r="W358" s="21">
        <v>-0.62983800000000001</v>
      </c>
      <c r="X358" s="30"/>
    </row>
    <row r="359" spans="2:24" x14ac:dyDescent="0.2">
      <c r="B359" s="4" t="s">
        <v>44</v>
      </c>
      <c r="C359" s="21">
        <v>-0.76332699999999998</v>
      </c>
      <c r="D359" s="21">
        <v>-0.62686699999999995</v>
      </c>
      <c r="E359" s="21">
        <v>-0.65631600000000001</v>
      </c>
      <c r="F359" s="21">
        <v>-6.5313999999999997E-2</v>
      </c>
      <c r="G359" s="21">
        <v>-0.65631600000000001</v>
      </c>
      <c r="H359" s="34">
        <v>1</v>
      </c>
      <c r="I359" s="21">
        <v>-2.7490000000000001E-3</v>
      </c>
      <c r="J359" s="21">
        <v>-1.7780000000000001E-2</v>
      </c>
      <c r="K359" s="21">
        <v>-0.774038</v>
      </c>
      <c r="L359" s="21">
        <v>0.31350299999999998</v>
      </c>
      <c r="M359" s="21"/>
      <c r="N359" s="21">
        <v>-0.66658099999999998</v>
      </c>
      <c r="O359" s="21">
        <v>0.21449699999999999</v>
      </c>
      <c r="P359" s="21">
        <v>5.491E-2</v>
      </c>
      <c r="Q359" s="21">
        <v>-0.60068600000000005</v>
      </c>
      <c r="R359" s="21">
        <v>-0.76332699999999998</v>
      </c>
      <c r="S359" s="21">
        <v>0.34496399999999999</v>
      </c>
      <c r="T359" s="21">
        <v>-0.71262000000000003</v>
      </c>
      <c r="U359" s="21">
        <v>7.4521000000000004E-2</v>
      </c>
      <c r="V359" s="21">
        <v>-0.66658099999999998</v>
      </c>
      <c r="W359" s="21">
        <v>6.2112000000000001E-2</v>
      </c>
      <c r="X359" s="30"/>
    </row>
    <row r="360" spans="2:24" x14ac:dyDescent="0.2">
      <c r="B360" s="4" t="s">
        <v>51</v>
      </c>
      <c r="C360" s="21">
        <v>-1.4385999999999999E-2</v>
      </c>
      <c r="D360" s="21">
        <v>0.53107899999999997</v>
      </c>
      <c r="E360" s="21">
        <v>-0.64622800000000002</v>
      </c>
      <c r="F360" s="21">
        <v>-2.3185000000000001E-2</v>
      </c>
      <c r="G360" s="21">
        <v>-0.64622800000000002</v>
      </c>
      <c r="H360" s="21">
        <v>-2.7490000000000001E-3</v>
      </c>
      <c r="I360" s="34">
        <v>1</v>
      </c>
      <c r="J360" s="21">
        <v>-3.9577000000000001E-2</v>
      </c>
      <c r="K360" s="21">
        <v>0.110053</v>
      </c>
      <c r="L360" s="21">
        <v>0.483319</v>
      </c>
      <c r="M360" s="21"/>
      <c r="N360" s="21">
        <v>-0.65645699999999996</v>
      </c>
      <c r="O360" s="21">
        <v>-0.759575</v>
      </c>
      <c r="P360" s="21">
        <v>-0.72948999999999997</v>
      </c>
      <c r="Q360" s="21">
        <v>-0.59092100000000003</v>
      </c>
      <c r="R360" s="21">
        <v>-1.4385999999999999E-2</v>
      </c>
      <c r="S360" s="21">
        <v>0.179011</v>
      </c>
      <c r="T360" s="21">
        <v>-0.70312600000000003</v>
      </c>
      <c r="U360" s="21">
        <v>0.107131</v>
      </c>
      <c r="V360" s="21">
        <v>-0.65645699999999996</v>
      </c>
      <c r="W360" s="21">
        <v>-6.6261E-2</v>
      </c>
      <c r="X360" s="30"/>
    </row>
    <row r="361" spans="2:24" x14ac:dyDescent="0.2">
      <c r="B361" s="4" t="s">
        <v>58</v>
      </c>
      <c r="C361" s="21">
        <v>0.11310199999999999</v>
      </c>
      <c r="D361" s="21">
        <v>-0.688967</v>
      </c>
      <c r="E361" s="21">
        <v>-0.745896</v>
      </c>
      <c r="F361" s="21">
        <v>-0.17161899999999999</v>
      </c>
      <c r="G361" s="21">
        <v>-0.745896</v>
      </c>
      <c r="H361" s="21">
        <v>-1.7780000000000001E-2</v>
      </c>
      <c r="I361" s="21">
        <v>-3.9577000000000001E-2</v>
      </c>
      <c r="J361" s="34">
        <v>1</v>
      </c>
      <c r="K361" s="21">
        <v>-3.4261E-2</v>
      </c>
      <c r="L361" s="21">
        <v>-6.7196000000000006E-2</v>
      </c>
      <c r="M361" s="21"/>
      <c r="N361" s="21">
        <v>-0.75548300000000002</v>
      </c>
      <c r="O361" s="21">
        <v>-7.8279999999999999E-3</v>
      </c>
      <c r="P361" s="21">
        <v>-0.134437</v>
      </c>
      <c r="Q361" s="21">
        <v>-0.66205199999999997</v>
      </c>
      <c r="R361" s="21">
        <v>0.11310199999999999</v>
      </c>
      <c r="S361" s="21">
        <v>-0.77666599999999997</v>
      </c>
      <c r="T361" s="21">
        <v>0.34080700000000003</v>
      </c>
      <c r="U361" s="21">
        <v>-0.114303</v>
      </c>
      <c r="V361" s="21">
        <v>7.8276999999999999E-2</v>
      </c>
      <c r="W361" s="21">
        <v>3.9497999999999998E-2</v>
      </c>
      <c r="X361" s="30"/>
    </row>
    <row r="362" spans="2:24" x14ac:dyDescent="0.2">
      <c r="B362" s="4" t="s">
        <v>84</v>
      </c>
      <c r="C362" s="21">
        <v>0.22973399999999999</v>
      </c>
      <c r="D362" s="21">
        <v>-0.59823800000000005</v>
      </c>
      <c r="E362" s="21">
        <v>-0.62721400000000005</v>
      </c>
      <c r="F362" s="21">
        <v>-0.20031499999999999</v>
      </c>
      <c r="G362" s="21">
        <v>-0.62721400000000005</v>
      </c>
      <c r="H362" s="21">
        <v>-0.774038</v>
      </c>
      <c r="I362" s="21">
        <v>0.110053</v>
      </c>
      <c r="J362" s="21">
        <v>-3.4261E-2</v>
      </c>
      <c r="K362" s="34">
        <v>1</v>
      </c>
      <c r="L362" s="21">
        <v>0.41191</v>
      </c>
      <c r="M362" s="21"/>
      <c r="N362" s="21">
        <v>-0.63735299999999995</v>
      </c>
      <c r="O362" s="21">
        <v>2.9385999999999999E-2</v>
      </c>
      <c r="P362" s="21">
        <v>0.34125299999999997</v>
      </c>
      <c r="Q362" s="21">
        <v>-0.53004099999999998</v>
      </c>
      <c r="R362" s="21">
        <v>0.22973399999999999</v>
      </c>
      <c r="S362" s="21">
        <v>-0.69141300000000006</v>
      </c>
      <c r="T362" s="21">
        <v>-0.65347</v>
      </c>
      <c r="U362" s="21">
        <v>0.170871</v>
      </c>
      <c r="V362" s="21">
        <v>0.34739799999999998</v>
      </c>
      <c r="W362" s="21">
        <v>0.29496800000000001</v>
      </c>
      <c r="X362" s="30"/>
    </row>
    <row r="363" spans="2:24" x14ac:dyDescent="0.2">
      <c r="B363" s="4" t="s">
        <v>88</v>
      </c>
      <c r="C363" s="21">
        <v>0.254334</v>
      </c>
      <c r="D363" s="21">
        <v>-0.50432500000000002</v>
      </c>
      <c r="E363" s="21">
        <v>-0.57567699999999999</v>
      </c>
      <c r="F363" s="21">
        <v>1.3074000000000001E-2</v>
      </c>
      <c r="G363" s="21">
        <v>-0.57567699999999999</v>
      </c>
      <c r="H363" s="21">
        <v>0.31350299999999998</v>
      </c>
      <c r="I363" s="21">
        <v>0.483319</v>
      </c>
      <c r="J363" s="21">
        <v>-6.7196000000000006E-2</v>
      </c>
      <c r="K363" s="21">
        <v>0.41191</v>
      </c>
      <c r="L363" s="34">
        <v>1</v>
      </c>
      <c r="M363" s="21"/>
      <c r="N363" s="21">
        <v>-0.58545700000000001</v>
      </c>
      <c r="O363" s="21">
        <v>0.23380799999999999</v>
      </c>
      <c r="P363" s="21">
        <v>-0.62848800000000005</v>
      </c>
      <c r="Q363" s="21">
        <v>-0.479684</v>
      </c>
      <c r="R363" s="21">
        <v>0.254334</v>
      </c>
      <c r="S363" s="21">
        <v>-0.60757099999999997</v>
      </c>
      <c r="T363" s="21">
        <v>0.45413799999999999</v>
      </c>
      <c r="U363" s="21">
        <v>-0.62384399999999995</v>
      </c>
      <c r="V363" s="21">
        <v>-0.58545700000000001</v>
      </c>
      <c r="W363" s="21">
        <v>-0.69959800000000005</v>
      </c>
      <c r="X363" s="30"/>
    </row>
    <row r="364" spans="2:24" x14ac:dyDescent="0.2">
      <c r="B364" s="4" t="s">
        <v>93</v>
      </c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34">
        <v>1</v>
      </c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30"/>
    </row>
    <row r="365" spans="2:24" x14ac:dyDescent="0.2">
      <c r="B365" s="4" t="s">
        <v>98</v>
      </c>
      <c r="C365" s="21">
        <v>-0.62583999999999995</v>
      </c>
      <c r="D365" s="21">
        <v>-0.47754999999999997</v>
      </c>
      <c r="E365" s="21">
        <v>-0.50489799999999996</v>
      </c>
      <c r="F365" s="21">
        <v>-0.73004100000000005</v>
      </c>
      <c r="G365" s="21">
        <v>-0.50489799999999996</v>
      </c>
      <c r="H365" s="21">
        <v>-0.66658099999999998</v>
      </c>
      <c r="I365" s="21">
        <v>-0.65645699999999996</v>
      </c>
      <c r="J365" s="21">
        <v>-0.75548300000000002</v>
      </c>
      <c r="K365" s="21">
        <v>-0.63735299999999995</v>
      </c>
      <c r="L365" s="21">
        <v>-0.58545700000000001</v>
      </c>
      <c r="M365" s="21"/>
      <c r="N365" s="34">
        <v>1</v>
      </c>
      <c r="O365" s="21">
        <v>-0.63180499999999995</v>
      </c>
      <c r="P365" s="21">
        <v>-0.60019100000000003</v>
      </c>
      <c r="Q365" s="21">
        <v>-0.45389600000000002</v>
      </c>
      <c r="R365" s="21">
        <v>-0.62583999999999995</v>
      </c>
      <c r="S365" s="21">
        <v>-0.57969099999999996</v>
      </c>
      <c r="T365" s="21">
        <v>-0.57333199999999995</v>
      </c>
      <c r="U365" s="21">
        <v>-0.595634</v>
      </c>
      <c r="V365" s="21">
        <v>-0.55809500000000001</v>
      </c>
      <c r="W365" s="21">
        <v>-0.63999099999999998</v>
      </c>
      <c r="X365" s="30"/>
    </row>
    <row r="366" spans="2:24" x14ac:dyDescent="0.2">
      <c r="B366" s="4" t="s">
        <v>99</v>
      </c>
      <c r="C366" s="21">
        <v>-0.73087400000000002</v>
      </c>
      <c r="D366" s="21">
        <v>-0.59282699999999999</v>
      </c>
      <c r="E366" s="21">
        <v>-0.62169600000000003</v>
      </c>
      <c r="F366" s="21">
        <v>-2.5583999999999999E-2</v>
      </c>
      <c r="G366" s="21">
        <v>-0.62169600000000003</v>
      </c>
      <c r="H366" s="21">
        <v>0.21449699999999999</v>
      </c>
      <c r="I366" s="21">
        <v>-0.759575</v>
      </c>
      <c r="J366" s="21">
        <v>-7.8279999999999999E-3</v>
      </c>
      <c r="K366" s="21">
        <v>2.9385999999999999E-2</v>
      </c>
      <c r="L366" s="21">
        <v>0.23380799999999999</v>
      </c>
      <c r="M366" s="21"/>
      <c r="N366" s="21">
        <v>-0.63180499999999995</v>
      </c>
      <c r="O366" s="34">
        <v>1</v>
      </c>
      <c r="P366" s="21">
        <v>-0.70623499999999995</v>
      </c>
      <c r="Q366" s="21">
        <v>-0.524563</v>
      </c>
      <c r="R366" s="21">
        <v>-0.73087400000000002</v>
      </c>
      <c r="S366" s="21">
        <v>-0.65455600000000003</v>
      </c>
      <c r="T366" s="21">
        <v>-0.64788100000000004</v>
      </c>
      <c r="U366" s="21">
        <v>-0.70179899999999995</v>
      </c>
      <c r="V366" s="21">
        <v>-0.63180499999999995</v>
      </c>
      <c r="W366" s="21">
        <v>0.19514500000000001</v>
      </c>
      <c r="X366" s="30"/>
    </row>
    <row r="367" spans="2:24" x14ac:dyDescent="0.2">
      <c r="B367" s="4" t="s">
        <v>103</v>
      </c>
      <c r="C367" s="21">
        <v>0.38391799999999998</v>
      </c>
      <c r="D367" s="21">
        <v>-0.51893199999999995</v>
      </c>
      <c r="E367" s="21">
        <v>-0.59029299999999996</v>
      </c>
      <c r="F367" s="21">
        <v>-0.77123600000000003</v>
      </c>
      <c r="G367" s="21">
        <v>-0.59029299999999996</v>
      </c>
      <c r="H367" s="21">
        <v>5.491E-2</v>
      </c>
      <c r="I367" s="21">
        <v>-0.72948999999999997</v>
      </c>
      <c r="J367" s="21">
        <v>-0.134437</v>
      </c>
      <c r="K367" s="21">
        <v>0.34125299999999997</v>
      </c>
      <c r="L367" s="21">
        <v>-0.62848800000000005</v>
      </c>
      <c r="M367" s="21"/>
      <c r="N367" s="21">
        <v>-0.60019100000000003</v>
      </c>
      <c r="O367" s="21">
        <v>-0.70623499999999995</v>
      </c>
      <c r="P367" s="34">
        <v>1</v>
      </c>
      <c r="Q367" s="21">
        <v>-0.49378499999999997</v>
      </c>
      <c r="R367" s="21">
        <v>0.38391799999999998</v>
      </c>
      <c r="S367" s="21">
        <v>-0.62254200000000004</v>
      </c>
      <c r="T367" s="21">
        <v>-0.61597400000000002</v>
      </c>
      <c r="U367" s="21">
        <v>0.30564400000000003</v>
      </c>
      <c r="V367" s="21">
        <v>0.46931200000000001</v>
      </c>
      <c r="W367" s="21">
        <v>-0.71399599999999996</v>
      </c>
      <c r="X367" s="30"/>
    </row>
    <row r="368" spans="2:24" x14ac:dyDescent="0.2">
      <c r="B368" s="4" t="s">
        <v>105</v>
      </c>
      <c r="C368" s="21">
        <v>-0.51870000000000005</v>
      </c>
      <c r="D368" s="21">
        <v>-0.368062</v>
      </c>
      <c r="E368" s="21">
        <v>-0.39213900000000002</v>
      </c>
      <c r="F368" s="21">
        <v>0.92953699999999995</v>
      </c>
      <c r="G368" s="21">
        <v>-0.39213900000000002</v>
      </c>
      <c r="H368" s="21">
        <v>-0.60068600000000005</v>
      </c>
      <c r="I368" s="21">
        <v>-0.59092100000000003</v>
      </c>
      <c r="J368" s="21">
        <v>-0.66205199999999997</v>
      </c>
      <c r="K368" s="21">
        <v>-0.53004099999999998</v>
      </c>
      <c r="L368" s="21">
        <v>-0.479684</v>
      </c>
      <c r="M368" s="21"/>
      <c r="N368" s="21">
        <v>-0.45389600000000002</v>
      </c>
      <c r="O368" s="21">
        <v>-0.524563</v>
      </c>
      <c r="P368" s="21">
        <v>-0.49378499999999997</v>
      </c>
      <c r="Q368" s="34">
        <v>1</v>
      </c>
      <c r="R368" s="21">
        <v>-0.51870000000000005</v>
      </c>
      <c r="S368" s="21">
        <v>-0.47420699999999999</v>
      </c>
      <c r="T368" s="21">
        <v>-0.468194</v>
      </c>
      <c r="U368" s="21">
        <v>-0.48940699999999998</v>
      </c>
      <c r="V368" s="21">
        <v>-0.45389600000000002</v>
      </c>
      <c r="W368" s="21">
        <v>-0.53265300000000004</v>
      </c>
      <c r="X368" s="30"/>
    </row>
    <row r="369" spans="2:24" x14ac:dyDescent="0.2">
      <c r="B369" s="4" t="s">
        <v>108</v>
      </c>
      <c r="C369" s="21">
        <v>1</v>
      </c>
      <c r="D369" s="21">
        <v>-0.58701700000000001</v>
      </c>
      <c r="E369" s="21">
        <v>0.657443</v>
      </c>
      <c r="F369" s="21">
        <v>4.73E-4</v>
      </c>
      <c r="G369" s="21">
        <v>-0.61576600000000004</v>
      </c>
      <c r="H369" s="21">
        <v>-0.76332699999999998</v>
      </c>
      <c r="I369" s="21">
        <v>-1.4385999999999999E-2</v>
      </c>
      <c r="J369" s="21">
        <v>0.11310199999999999</v>
      </c>
      <c r="K369" s="21">
        <v>0.22973399999999999</v>
      </c>
      <c r="L369" s="21">
        <v>0.254334</v>
      </c>
      <c r="M369" s="21"/>
      <c r="N369" s="21">
        <v>-0.62583999999999995</v>
      </c>
      <c r="O369" s="21">
        <v>-0.73087400000000002</v>
      </c>
      <c r="P369" s="21">
        <v>0.38391799999999998</v>
      </c>
      <c r="Q369" s="21">
        <v>-0.51870000000000005</v>
      </c>
      <c r="R369" s="34">
        <v>1</v>
      </c>
      <c r="S369" s="21">
        <v>0.27994799999999997</v>
      </c>
      <c r="T369" s="21">
        <v>-0.64186900000000002</v>
      </c>
      <c r="U369" s="21">
        <v>0.21091399999999999</v>
      </c>
      <c r="V369" s="21">
        <v>-0.62583999999999995</v>
      </c>
      <c r="W369" s="21">
        <v>-0.73859900000000001</v>
      </c>
      <c r="X369" s="30"/>
    </row>
    <row r="370" spans="2:24" x14ac:dyDescent="0.2">
      <c r="B370" s="4" t="s">
        <v>112</v>
      </c>
      <c r="C370" s="21">
        <v>0.27994799999999997</v>
      </c>
      <c r="D370" s="21">
        <v>-0.498645</v>
      </c>
      <c r="E370" s="21">
        <v>-0.56996199999999997</v>
      </c>
      <c r="F370" s="21">
        <v>-0.75148400000000004</v>
      </c>
      <c r="G370" s="21">
        <v>-0.56996199999999997</v>
      </c>
      <c r="H370" s="21">
        <v>0.34496399999999999</v>
      </c>
      <c r="I370" s="21">
        <v>0.179011</v>
      </c>
      <c r="J370" s="21">
        <v>-0.77666599999999997</v>
      </c>
      <c r="K370" s="21">
        <v>-0.69141300000000006</v>
      </c>
      <c r="L370" s="21">
        <v>-0.60757099999999997</v>
      </c>
      <c r="M370" s="21"/>
      <c r="N370" s="21">
        <v>-0.57969099999999996</v>
      </c>
      <c r="O370" s="21">
        <v>-0.65455600000000003</v>
      </c>
      <c r="P370" s="21">
        <v>-0.62254200000000004</v>
      </c>
      <c r="Q370" s="21">
        <v>-0.47420699999999999</v>
      </c>
      <c r="R370" s="21">
        <v>0.27994799999999997</v>
      </c>
      <c r="S370" s="34">
        <v>1</v>
      </c>
      <c r="T370" s="21">
        <v>-0.59522900000000001</v>
      </c>
      <c r="U370" s="21">
        <v>0.38841700000000001</v>
      </c>
      <c r="V370" s="21">
        <v>0.54233600000000004</v>
      </c>
      <c r="W370" s="21">
        <v>-0.69391099999999994</v>
      </c>
      <c r="X370" s="30"/>
    </row>
    <row r="371" spans="2:24" x14ac:dyDescent="0.2">
      <c r="B371" s="4" t="s">
        <v>115</v>
      </c>
      <c r="C371" s="21">
        <v>-0.64186900000000002</v>
      </c>
      <c r="D371" s="21">
        <v>-0.49240499999999998</v>
      </c>
      <c r="E371" s="21">
        <v>-0.56366000000000005</v>
      </c>
      <c r="F371" s="21">
        <v>7.2818999999999995E-2</v>
      </c>
      <c r="G371" s="21">
        <v>-0.56366000000000005</v>
      </c>
      <c r="H371" s="21">
        <v>-0.71262000000000003</v>
      </c>
      <c r="I371" s="21">
        <v>-0.70312600000000003</v>
      </c>
      <c r="J371" s="21">
        <v>0.34080700000000003</v>
      </c>
      <c r="K371" s="21">
        <v>-0.65347</v>
      </c>
      <c r="L371" s="21">
        <v>0.45413799999999999</v>
      </c>
      <c r="M371" s="21"/>
      <c r="N371" s="21">
        <v>-0.57333199999999995</v>
      </c>
      <c r="O371" s="21">
        <v>-0.64788100000000004</v>
      </c>
      <c r="P371" s="21">
        <v>-0.61597400000000002</v>
      </c>
      <c r="Q371" s="21">
        <v>-0.468194</v>
      </c>
      <c r="R371" s="21">
        <v>-0.64186900000000002</v>
      </c>
      <c r="S371" s="21">
        <v>-0.59522900000000001</v>
      </c>
      <c r="T371" s="34">
        <v>1</v>
      </c>
      <c r="U371" s="21">
        <v>0.41572399999999998</v>
      </c>
      <c r="V371" s="21">
        <v>-0.57333199999999995</v>
      </c>
      <c r="W371" s="21">
        <v>-0.65612599999999999</v>
      </c>
      <c r="X371" s="30"/>
    </row>
    <row r="372" spans="2:24" x14ac:dyDescent="0.2">
      <c r="B372" s="4" t="s">
        <v>122</v>
      </c>
      <c r="C372" s="21">
        <v>0.21091399999999999</v>
      </c>
      <c r="D372" s="21">
        <v>-0.51439900000000005</v>
      </c>
      <c r="E372" s="21">
        <v>-0.58577100000000004</v>
      </c>
      <c r="F372" s="21">
        <v>0.55831600000000003</v>
      </c>
      <c r="G372" s="21">
        <v>-0.58577100000000004</v>
      </c>
      <c r="H372" s="21">
        <v>7.4521000000000004E-2</v>
      </c>
      <c r="I372" s="21">
        <v>0.107131</v>
      </c>
      <c r="J372" s="21">
        <v>-0.114303</v>
      </c>
      <c r="K372" s="21">
        <v>0.170871</v>
      </c>
      <c r="L372" s="21">
        <v>-0.62384399999999995</v>
      </c>
      <c r="M372" s="21"/>
      <c r="N372" s="21">
        <v>-0.595634</v>
      </c>
      <c r="O372" s="21">
        <v>-0.70179899999999995</v>
      </c>
      <c r="P372" s="21">
        <v>0.30564400000000003</v>
      </c>
      <c r="Q372" s="21">
        <v>-0.48940699999999998</v>
      </c>
      <c r="R372" s="21">
        <v>0.21091399999999999</v>
      </c>
      <c r="S372" s="21">
        <v>0.38841700000000001</v>
      </c>
      <c r="T372" s="21">
        <v>0.41572399999999998</v>
      </c>
      <c r="U372" s="34">
        <v>1</v>
      </c>
      <c r="V372" s="21">
        <v>-0.595634</v>
      </c>
      <c r="W372" s="21">
        <v>-0.70956300000000005</v>
      </c>
      <c r="X372" s="30"/>
    </row>
    <row r="373" spans="2:24" x14ac:dyDescent="0.2">
      <c r="B373" s="4" t="s">
        <v>129</v>
      </c>
      <c r="C373" s="21">
        <v>-0.62583999999999995</v>
      </c>
      <c r="D373" s="21">
        <v>-0.47754999999999997</v>
      </c>
      <c r="E373" s="21">
        <v>-0.50489799999999996</v>
      </c>
      <c r="F373" s="21">
        <v>0.15595999999999999</v>
      </c>
      <c r="G373" s="21">
        <v>-0.50489799999999996</v>
      </c>
      <c r="H373" s="21">
        <v>-0.66658099999999998</v>
      </c>
      <c r="I373" s="21">
        <v>-0.65645699999999996</v>
      </c>
      <c r="J373" s="21">
        <v>7.8276999999999999E-2</v>
      </c>
      <c r="K373" s="21">
        <v>0.34739799999999998</v>
      </c>
      <c r="L373" s="21">
        <v>-0.58545700000000001</v>
      </c>
      <c r="M373" s="21"/>
      <c r="N373" s="21">
        <v>-0.55809500000000001</v>
      </c>
      <c r="O373" s="21">
        <v>-0.63180499999999995</v>
      </c>
      <c r="P373" s="21">
        <v>0.46931200000000001</v>
      </c>
      <c r="Q373" s="21">
        <v>-0.45389600000000002</v>
      </c>
      <c r="R373" s="21">
        <v>-0.62583999999999995</v>
      </c>
      <c r="S373" s="21">
        <v>0.54233600000000004</v>
      </c>
      <c r="T373" s="21">
        <v>-0.57333199999999995</v>
      </c>
      <c r="U373" s="21">
        <v>-0.595634</v>
      </c>
      <c r="V373" s="34">
        <v>1</v>
      </c>
      <c r="W373" s="21">
        <v>-0.63999099999999998</v>
      </c>
      <c r="X373" s="30"/>
    </row>
    <row r="374" spans="2:24" ht="17" thickBot="1" x14ac:dyDescent="0.25">
      <c r="B374" s="8" t="s">
        <v>134</v>
      </c>
      <c r="C374" s="22">
        <v>-0.73859900000000001</v>
      </c>
      <c r="D374" s="22">
        <v>-0.60081300000000004</v>
      </c>
      <c r="E374" s="22">
        <v>-0.62983800000000001</v>
      </c>
      <c r="F374" s="22">
        <v>-0.80789699999999998</v>
      </c>
      <c r="G374" s="22">
        <v>-0.62983800000000001</v>
      </c>
      <c r="H374" s="22">
        <v>6.2112000000000001E-2</v>
      </c>
      <c r="I374" s="22">
        <v>-6.6261E-2</v>
      </c>
      <c r="J374" s="22">
        <v>3.9497999999999998E-2</v>
      </c>
      <c r="K374" s="22">
        <v>0.29496800000000001</v>
      </c>
      <c r="L374" s="22">
        <v>-0.69959800000000005</v>
      </c>
      <c r="M374" s="22"/>
      <c r="N374" s="22">
        <v>-0.63999099999999998</v>
      </c>
      <c r="O374" s="22">
        <v>0.19514500000000001</v>
      </c>
      <c r="P374" s="22">
        <v>-0.71399599999999996</v>
      </c>
      <c r="Q374" s="22">
        <v>-0.53265300000000004</v>
      </c>
      <c r="R374" s="22">
        <v>-0.73859900000000001</v>
      </c>
      <c r="S374" s="22">
        <v>-0.69391099999999994</v>
      </c>
      <c r="T374" s="22">
        <v>-0.65612599999999999</v>
      </c>
      <c r="U374" s="22">
        <v>-0.70956300000000005</v>
      </c>
      <c r="V374" s="22">
        <v>-0.63999099999999998</v>
      </c>
      <c r="W374" s="35">
        <v>1</v>
      </c>
      <c r="X374" s="30"/>
    </row>
  </sheetData>
  <mergeCells count="1">
    <mergeCell ref="B301:J302"/>
  </mergeCells>
  <conditionalFormatting sqref="C16:C36">
    <cfRule type="cellIs" dxfId="1" priority="1" operator="lessThan">
      <formula>0.05</formula>
    </cfRule>
  </conditionalFormatting>
  <pageMargins left="0.7" right="0.7" top="0.75" bottom="0.75" header="0.3" footer="0.3"/>
  <ignoredErrors>
    <ignoredError sqref="B278:B28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D225179">
              <controlPr defaultSize="0" autoFill="0" autoPict="0" macro="[0]!GoToResultsNew202011111102371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B88FF-FAEC-E347-9A88-08052726FC7A}">
  <sheetPr codeName="Sheet5"/>
  <dimension ref="A1:U555"/>
  <sheetViews>
    <sheetView topLeftCell="A508" workbookViewId="0">
      <selection activeCell="S2" sqref="S2:S553"/>
    </sheetView>
  </sheetViews>
  <sheetFormatPr baseColWidth="10" defaultRowHeight="16" x14ac:dyDescent="0.2"/>
  <sheetData>
    <row r="1" spans="1:21" x14ac:dyDescent="0.2">
      <c r="A1" t="s">
        <v>0</v>
      </c>
      <c r="B1" t="s">
        <v>1</v>
      </c>
      <c r="C1" t="s">
        <v>2</v>
      </c>
      <c r="D1" s="1" t="s">
        <v>5</v>
      </c>
      <c r="E1" s="43" t="s">
        <v>190</v>
      </c>
      <c r="F1" s="1" t="s">
        <v>9</v>
      </c>
      <c r="G1" s="1" t="s">
        <v>10</v>
      </c>
      <c r="H1" s="1" t="s">
        <v>23</v>
      </c>
      <c r="I1" s="1" t="s">
        <v>24</v>
      </c>
      <c r="J1" s="1" t="s">
        <v>26</v>
      </c>
      <c r="K1" s="1" t="s">
        <v>32</v>
      </c>
      <c r="L1" s="1" t="s">
        <v>37</v>
      </c>
      <c r="M1" s="1" t="s">
        <v>44</v>
      </c>
      <c r="N1" s="1" t="s">
        <v>51</v>
      </c>
      <c r="O1" s="1" t="s">
        <v>58</v>
      </c>
      <c r="P1" s="1" t="s">
        <v>64</v>
      </c>
      <c r="Q1" s="1" t="s">
        <v>84</v>
      </c>
      <c r="R1" s="1" t="s">
        <v>99</v>
      </c>
      <c r="S1" s="1" t="s">
        <v>134</v>
      </c>
      <c r="T1" s="42" t="s">
        <v>15</v>
      </c>
      <c r="U1" s="43" t="s">
        <v>7</v>
      </c>
    </row>
    <row r="2" spans="1:21" x14ac:dyDescent="0.2">
      <c r="A2">
        <v>1</v>
      </c>
      <c r="B2" t="s">
        <v>139</v>
      </c>
      <c r="C2" t="s">
        <v>140</v>
      </c>
      <c r="D2">
        <v>0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</row>
    <row r="3" spans="1:21" x14ac:dyDescent="0.2">
      <c r="A3">
        <v>1</v>
      </c>
      <c r="B3">
        <v>117.17</v>
      </c>
      <c r="C3" t="s">
        <v>141</v>
      </c>
      <c r="D3">
        <v>0</v>
      </c>
      <c r="E3">
        <v>0</v>
      </c>
      <c r="F3">
        <v>1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</v>
      </c>
      <c r="T3">
        <v>0</v>
      </c>
      <c r="U3">
        <v>0</v>
      </c>
    </row>
    <row r="4" spans="1:21" x14ac:dyDescent="0.2">
      <c r="A4">
        <v>1</v>
      </c>
      <c r="B4">
        <v>120.14</v>
      </c>
      <c r="C4" t="s">
        <v>142</v>
      </c>
      <c r="D4">
        <v>0</v>
      </c>
      <c r="E4">
        <v>0</v>
      </c>
      <c r="F4">
        <v>1</v>
      </c>
      <c r="G4">
        <v>0</v>
      </c>
      <c r="H4">
        <v>0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">
      <c r="A5">
        <v>1</v>
      </c>
      <c r="B5">
        <v>120.17</v>
      </c>
      <c r="C5" t="s">
        <v>143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</row>
    <row r="6" spans="1:21" x14ac:dyDescent="0.2">
      <c r="A6">
        <v>3</v>
      </c>
      <c r="B6">
        <v>120.17</v>
      </c>
      <c r="C6" t="s">
        <v>144</v>
      </c>
      <c r="D6">
        <v>0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2">
      <c r="A7">
        <v>3</v>
      </c>
      <c r="B7">
        <v>120.14</v>
      </c>
      <c r="C7" t="s">
        <v>145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2">
      <c r="A8">
        <v>3</v>
      </c>
      <c r="B8">
        <v>117.17</v>
      </c>
      <c r="C8" t="s">
        <v>146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">
      <c r="A9">
        <v>3</v>
      </c>
      <c r="B9" t="s">
        <v>139</v>
      </c>
      <c r="C9" t="s">
        <v>147</v>
      </c>
      <c r="D9">
        <v>1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">
      <c r="A10">
        <v>4</v>
      </c>
      <c r="B10">
        <v>117.17</v>
      </c>
      <c r="C10" t="s">
        <v>148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">
      <c r="A11">
        <v>4</v>
      </c>
      <c r="B11">
        <v>120.17</v>
      </c>
      <c r="C11" t="s">
        <v>149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2">
      <c r="A12">
        <v>4</v>
      </c>
      <c r="B12" t="s">
        <v>139</v>
      </c>
      <c r="C12" t="s">
        <v>150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2">
      <c r="A13">
        <v>4</v>
      </c>
      <c r="B13">
        <v>120.14</v>
      </c>
      <c r="C13" t="s">
        <v>151</v>
      </c>
      <c r="D13">
        <v>0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2">
      <c r="A14">
        <v>5</v>
      </c>
      <c r="B14" t="s">
        <v>139</v>
      </c>
      <c r="C14" t="s">
        <v>152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0</v>
      </c>
    </row>
    <row r="15" spans="1:21" x14ac:dyDescent="0.2">
      <c r="A15">
        <v>5</v>
      </c>
      <c r="B15">
        <v>117.17</v>
      </c>
      <c r="C15" t="s">
        <v>153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0</v>
      </c>
    </row>
    <row r="16" spans="1:21" x14ac:dyDescent="0.2">
      <c r="A16">
        <v>5</v>
      </c>
      <c r="B16">
        <v>120.14</v>
      </c>
      <c r="C16" t="s">
        <v>154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2">
      <c r="A17">
        <v>5</v>
      </c>
      <c r="B17">
        <v>120.17</v>
      </c>
      <c r="C17" t="s">
        <v>155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</row>
    <row r="18" spans="1:21" x14ac:dyDescent="0.2">
      <c r="A18">
        <v>6</v>
      </c>
      <c r="B18">
        <v>120.14</v>
      </c>
      <c r="C18" t="s">
        <v>156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">
      <c r="A19">
        <v>6</v>
      </c>
      <c r="B19" t="s">
        <v>139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2">
      <c r="A20">
        <v>6</v>
      </c>
      <c r="B20">
        <v>120.17</v>
      </c>
      <c r="C20" t="s">
        <v>157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2">
      <c r="A21">
        <v>6</v>
      </c>
      <c r="B21">
        <v>117.17</v>
      </c>
      <c r="C21" t="s">
        <v>158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2">
      <c r="A22">
        <v>7</v>
      </c>
      <c r="B22">
        <v>120.17</v>
      </c>
      <c r="C22" t="s">
        <v>159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2">
      <c r="A23">
        <v>7</v>
      </c>
      <c r="B23">
        <v>120.14</v>
      </c>
      <c r="C23" t="s">
        <v>160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2">
      <c r="A24">
        <v>7</v>
      </c>
      <c r="B24">
        <v>117.17</v>
      </c>
      <c r="C24" t="s">
        <v>161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">
      <c r="A25">
        <v>7</v>
      </c>
      <c r="B25" t="s">
        <v>139</v>
      </c>
      <c r="C25" t="s">
        <v>162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2">
      <c r="A26">
        <v>8</v>
      </c>
      <c r="B26">
        <v>117.17</v>
      </c>
      <c r="C26" t="s">
        <v>163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2">
      <c r="A27">
        <v>8</v>
      </c>
      <c r="B27">
        <v>120.17</v>
      </c>
      <c r="C27" t="s">
        <v>163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">
      <c r="A28">
        <v>8</v>
      </c>
      <c r="B28" t="s">
        <v>139</v>
      </c>
      <c r="C28" t="s">
        <v>164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2">
      <c r="A29">
        <v>8</v>
      </c>
      <c r="B29">
        <v>120.14</v>
      </c>
      <c r="C29" t="s">
        <v>164</v>
      </c>
      <c r="D29">
        <v>0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">
      <c r="A30">
        <v>9</v>
      </c>
      <c r="B30" t="s">
        <v>139</v>
      </c>
      <c r="C30" t="s">
        <v>165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1</v>
      </c>
      <c r="T30">
        <v>0</v>
      </c>
      <c r="U30">
        <v>0</v>
      </c>
    </row>
    <row r="31" spans="1:21" x14ac:dyDescent="0.2">
      <c r="A31">
        <v>9</v>
      </c>
      <c r="B31">
        <v>117.17</v>
      </c>
      <c r="C31" t="s">
        <v>166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</row>
    <row r="32" spans="1:21" x14ac:dyDescent="0.2">
      <c r="A32">
        <v>9</v>
      </c>
      <c r="B32">
        <v>120.14</v>
      </c>
      <c r="C32" t="s">
        <v>158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2">
      <c r="A33">
        <v>9</v>
      </c>
      <c r="B33">
        <v>120.17</v>
      </c>
      <c r="C33" t="s">
        <v>167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2">
      <c r="A34">
        <v>10</v>
      </c>
      <c r="B34">
        <v>120.14</v>
      </c>
      <c r="C34" t="s">
        <v>168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2">
      <c r="A35">
        <v>10</v>
      </c>
      <c r="B35" t="s">
        <v>139</v>
      </c>
      <c r="C35" t="s">
        <v>169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2">
      <c r="A36">
        <v>10</v>
      </c>
      <c r="B36">
        <v>120.17</v>
      </c>
      <c r="C36" t="s">
        <v>170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">
      <c r="A37">
        <v>10</v>
      </c>
      <c r="B37">
        <v>117.17</v>
      </c>
      <c r="C37" t="s">
        <v>171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">
      <c r="A38">
        <v>11</v>
      </c>
      <c r="B38">
        <v>120.17</v>
      </c>
      <c r="C38" t="s">
        <v>172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2">
      <c r="A39">
        <v>11</v>
      </c>
      <c r="B39">
        <v>120.14</v>
      </c>
      <c r="C39" t="s">
        <v>172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2">
      <c r="A40">
        <v>11</v>
      </c>
      <c r="B40">
        <v>117.17</v>
      </c>
      <c r="C40" t="s">
        <v>172</v>
      </c>
      <c r="D40">
        <v>0</v>
      </c>
      <c r="E40">
        <v>0</v>
      </c>
      <c r="F40">
        <v>1</v>
      </c>
      <c r="G40">
        <v>0</v>
      </c>
      <c r="H40">
        <v>0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2">
      <c r="A41">
        <v>11</v>
      </c>
      <c r="B41" t="s">
        <v>139</v>
      </c>
      <c r="C41" t="s">
        <v>172</v>
      </c>
      <c r="D41">
        <v>0</v>
      </c>
      <c r="E41">
        <v>0</v>
      </c>
      <c r="F41">
        <v>1</v>
      </c>
      <c r="G41">
        <v>0</v>
      </c>
      <c r="H41">
        <v>0</v>
      </c>
      <c r="I41">
        <v>0</v>
      </c>
      <c r="J41">
        <v>0</v>
      </c>
      <c r="K41">
        <v>1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2">
      <c r="A42">
        <v>12</v>
      </c>
      <c r="B42">
        <v>117.17</v>
      </c>
      <c r="C42" t="s">
        <v>173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2">
      <c r="A43">
        <v>12</v>
      </c>
      <c r="B43">
        <v>120.17</v>
      </c>
      <c r="C43" t="s">
        <v>174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</row>
    <row r="44" spans="1:21" x14ac:dyDescent="0.2">
      <c r="A44">
        <v>12</v>
      </c>
      <c r="B44" t="s">
        <v>139</v>
      </c>
      <c r="C44" t="s">
        <v>175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2">
      <c r="A45">
        <v>12</v>
      </c>
      <c r="B45">
        <v>120.14</v>
      </c>
      <c r="C45" t="s">
        <v>176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2">
      <c r="A46">
        <v>13</v>
      </c>
      <c r="B46" t="s">
        <v>139</v>
      </c>
      <c r="C46" t="s">
        <v>177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2">
      <c r="A47">
        <v>13</v>
      </c>
      <c r="B47">
        <v>117.17</v>
      </c>
      <c r="C47" t="s">
        <v>158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2">
      <c r="A48">
        <v>13</v>
      </c>
      <c r="B48">
        <v>120.14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2">
      <c r="A49">
        <v>13</v>
      </c>
      <c r="B49">
        <v>120.17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2">
      <c r="A50">
        <v>14</v>
      </c>
      <c r="B50">
        <v>120.14</v>
      </c>
      <c r="C50" t="s">
        <v>178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2">
      <c r="A51">
        <v>14</v>
      </c>
      <c r="B51" t="s">
        <v>139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2">
      <c r="A52">
        <v>14</v>
      </c>
      <c r="B52">
        <v>120.17</v>
      </c>
      <c r="C52" t="s">
        <v>164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2">
      <c r="A53">
        <v>14</v>
      </c>
      <c r="B53">
        <v>117.17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2">
      <c r="A54">
        <v>15</v>
      </c>
      <c r="B54">
        <v>120.17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2">
      <c r="A55">
        <v>15</v>
      </c>
      <c r="B55">
        <v>120.14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2">
      <c r="A56">
        <v>15</v>
      </c>
      <c r="B56">
        <v>117.17</v>
      </c>
      <c r="C56" t="s">
        <v>179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2">
      <c r="A57">
        <v>15</v>
      </c>
      <c r="B57" t="s">
        <v>139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2">
      <c r="A58">
        <v>16</v>
      </c>
      <c r="B58">
        <v>117.17</v>
      </c>
      <c r="C58" t="s">
        <v>180</v>
      </c>
      <c r="D58">
        <v>0</v>
      </c>
      <c r="E58">
        <v>1</v>
      </c>
      <c r="F58">
        <v>0</v>
      </c>
      <c r="G58">
        <v>1</v>
      </c>
      <c r="H58">
        <v>0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1</v>
      </c>
    </row>
    <row r="59" spans="1:21" x14ac:dyDescent="0.2">
      <c r="A59">
        <v>16</v>
      </c>
      <c r="B59">
        <v>120.17</v>
      </c>
      <c r="C59" t="s">
        <v>181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0</v>
      </c>
      <c r="T59">
        <v>0</v>
      </c>
      <c r="U59">
        <v>0</v>
      </c>
    </row>
    <row r="60" spans="1:21" x14ac:dyDescent="0.2">
      <c r="A60">
        <v>16</v>
      </c>
      <c r="B60" t="s">
        <v>139</v>
      </c>
      <c r="C60" t="s">
        <v>164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2">
      <c r="A61">
        <v>16</v>
      </c>
      <c r="B61">
        <v>120.14</v>
      </c>
      <c r="C61" t="s">
        <v>182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1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2">
      <c r="A62">
        <v>17</v>
      </c>
      <c r="B62" t="s">
        <v>139</v>
      </c>
      <c r="C62" t="s">
        <v>183</v>
      </c>
      <c r="D62">
        <v>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2">
      <c r="A63">
        <v>17</v>
      </c>
      <c r="B63">
        <v>117.17</v>
      </c>
      <c r="C63" t="s">
        <v>184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1</v>
      </c>
      <c r="T63">
        <v>0</v>
      </c>
      <c r="U63">
        <v>0</v>
      </c>
    </row>
    <row r="64" spans="1:21" x14ac:dyDescent="0.2">
      <c r="A64">
        <v>17</v>
      </c>
      <c r="B64">
        <v>120.14</v>
      </c>
      <c r="C64" t="s">
        <v>185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2">
      <c r="A65">
        <v>17</v>
      </c>
      <c r="B65">
        <v>120.17</v>
      </c>
      <c r="C65" t="s">
        <v>186</v>
      </c>
      <c r="D65">
        <v>1</v>
      </c>
      <c r="E65">
        <v>0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2">
      <c r="A66">
        <v>18</v>
      </c>
      <c r="B66">
        <v>120.14</v>
      </c>
      <c r="C66" t="s">
        <v>179</v>
      </c>
      <c r="D66">
        <v>0</v>
      </c>
      <c r="E66">
        <v>0</v>
      </c>
      <c r="F66">
        <v>1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2">
      <c r="A67">
        <v>18</v>
      </c>
      <c r="B67" t="s">
        <v>139</v>
      </c>
      <c r="C67" t="s">
        <v>187</v>
      </c>
      <c r="D67">
        <v>0</v>
      </c>
      <c r="E67">
        <v>0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2">
      <c r="A68">
        <v>18</v>
      </c>
      <c r="B68">
        <v>120.17</v>
      </c>
      <c r="C68" t="s">
        <v>188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2">
      <c r="A69">
        <v>18</v>
      </c>
      <c r="B69">
        <v>117.17</v>
      </c>
      <c r="C69" t="s">
        <v>189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</row>
    <row r="70" spans="1:21" x14ac:dyDescent="0.2">
      <c r="A70">
        <v>19</v>
      </c>
      <c r="B70">
        <v>120.17</v>
      </c>
      <c r="C70" t="s">
        <v>190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</v>
      </c>
    </row>
    <row r="71" spans="1:21" x14ac:dyDescent="0.2">
      <c r="A71">
        <v>19</v>
      </c>
      <c r="B71">
        <v>120.14</v>
      </c>
      <c r="C71" t="s">
        <v>158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2">
      <c r="A72">
        <v>19</v>
      </c>
      <c r="B72">
        <v>117.17</v>
      </c>
      <c r="C72" t="s">
        <v>191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1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2">
      <c r="A73">
        <v>19</v>
      </c>
      <c r="B73" t="s">
        <v>139</v>
      </c>
      <c r="C73" t="s">
        <v>192</v>
      </c>
      <c r="D73">
        <v>1</v>
      </c>
      <c r="E73">
        <v>0</v>
      </c>
      <c r="F73">
        <v>0</v>
      </c>
      <c r="G73">
        <v>1</v>
      </c>
      <c r="H73">
        <v>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2">
      <c r="A74">
        <v>20</v>
      </c>
      <c r="B74">
        <v>117.17</v>
      </c>
      <c r="C74" t="s">
        <v>193</v>
      </c>
      <c r="D74">
        <v>0</v>
      </c>
      <c r="E74">
        <v>0</v>
      </c>
      <c r="F74">
        <v>0</v>
      </c>
      <c r="G74">
        <v>0</v>
      </c>
      <c r="H74">
        <v>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2">
      <c r="A75">
        <v>20</v>
      </c>
      <c r="B75">
        <v>120.17</v>
      </c>
      <c r="C75" t="s">
        <v>190</v>
      </c>
      <c r="D75">
        <v>0</v>
      </c>
      <c r="E75">
        <v>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</row>
    <row r="76" spans="1:21" x14ac:dyDescent="0.2">
      <c r="A76">
        <v>20</v>
      </c>
      <c r="B76" t="s">
        <v>139</v>
      </c>
      <c r="C76" t="s">
        <v>194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2">
      <c r="A77">
        <v>20</v>
      </c>
      <c r="B77">
        <v>120.14</v>
      </c>
      <c r="C77" t="s">
        <v>190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1</v>
      </c>
    </row>
    <row r="78" spans="1:21" x14ac:dyDescent="0.2">
      <c r="A78">
        <v>21</v>
      </c>
      <c r="B78" t="s">
        <v>139</v>
      </c>
      <c r="C78" t="s">
        <v>195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2">
      <c r="A79">
        <v>21</v>
      </c>
      <c r="B79">
        <v>117.17</v>
      </c>
      <c r="C79" t="s">
        <v>158</v>
      </c>
      <c r="D79">
        <v>0</v>
      </c>
      <c r="E79">
        <v>0</v>
      </c>
      <c r="F79">
        <v>0</v>
      </c>
      <c r="G79">
        <v>0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2">
      <c r="A80">
        <v>21</v>
      </c>
      <c r="B80">
        <v>120.14</v>
      </c>
      <c r="C80" t="s">
        <v>196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1</v>
      </c>
    </row>
    <row r="81" spans="1:21" x14ac:dyDescent="0.2">
      <c r="A81">
        <v>21</v>
      </c>
      <c r="B81">
        <v>120.17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2">
      <c r="A82">
        <v>22</v>
      </c>
      <c r="B82">
        <v>120.14</v>
      </c>
      <c r="C82" t="s">
        <v>197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2">
      <c r="A83">
        <v>22</v>
      </c>
      <c r="B83" t="s">
        <v>139</v>
      </c>
      <c r="C83" t="s">
        <v>198</v>
      </c>
      <c r="D83">
        <v>0</v>
      </c>
      <c r="E83">
        <v>0</v>
      </c>
      <c r="F83">
        <v>0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>
        <v>0</v>
      </c>
      <c r="U83">
        <v>0</v>
      </c>
    </row>
    <row r="84" spans="1:21" x14ac:dyDescent="0.2">
      <c r="A84">
        <v>22</v>
      </c>
      <c r="B84">
        <v>120.17</v>
      </c>
      <c r="C84" t="s">
        <v>199</v>
      </c>
      <c r="D84">
        <v>0</v>
      </c>
      <c r="E84">
        <v>0</v>
      </c>
      <c r="F84">
        <v>0</v>
      </c>
      <c r="G84">
        <v>1</v>
      </c>
      <c r="H84">
        <v>0</v>
      </c>
      <c r="I84">
        <v>1</v>
      </c>
      <c r="J84">
        <v>1</v>
      </c>
      <c r="K84">
        <v>0</v>
      </c>
      <c r="L84">
        <v>0</v>
      </c>
      <c r="M84">
        <v>0</v>
      </c>
      <c r="N84">
        <v>1</v>
      </c>
      <c r="O84">
        <v>1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2">
      <c r="A85">
        <v>22</v>
      </c>
      <c r="B85">
        <v>117.17</v>
      </c>
      <c r="C85" t="s">
        <v>200</v>
      </c>
      <c r="D85">
        <v>0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2">
      <c r="A86">
        <v>23</v>
      </c>
      <c r="B86">
        <v>120.17</v>
      </c>
      <c r="C86" t="s">
        <v>201</v>
      </c>
      <c r="D86">
        <v>0</v>
      </c>
      <c r="E86">
        <v>0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2">
      <c r="A87">
        <v>23</v>
      </c>
      <c r="B87">
        <v>120.14</v>
      </c>
      <c r="C87" t="s">
        <v>202</v>
      </c>
      <c r="D87">
        <v>0</v>
      </c>
      <c r="E87">
        <v>0</v>
      </c>
      <c r="F87">
        <v>0</v>
      </c>
      <c r="G87">
        <v>0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2">
      <c r="A88">
        <v>23</v>
      </c>
      <c r="B88">
        <v>117.17</v>
      </c>
      <c r="C88" t="s">
        <v>203</v>
      </c>
      <c r="D88">
        <v>0</v>
      </c>
      <c r="E88">
        <v>0</v>
      </c>
      <c r="F88">
        <v>0</v>
      </c>
      <c r="G88">
        <v>1</v>
      </c>
      <c r="H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2">
      <c r="A89">
        <v>23</v>
      </c>
      <c r="B89" t="s">
        <v>139</v>
      </c>
      <c r="C89" t="s">
        <v>204</v>
      </c>
      <c r="D89">
        <v>0</v>
      </c>
      <c r="E89">
        <v>0</v>
      </c>
      <c r="F89">
        <v>1</v>
      </c>
      <c r="G89">
        <v>0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2">
      <c r="A90">
        <v>24</v>
      </c>
      <c r="B90">
        <v>117.17</v>
      </c>
      <c r="C90" t="s">
        <v>164</v>
      </c>
      <c r="D90">
        <v>0</v>
      </c>
      <c r="E90">
        <v>0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2">
      <c r="A91">
        <v>24</v>
      </c>
      <c r="B91">
        <v>120.17</v>
      </c>
      <c r="C91" t="s">
        <v>205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2">
      <c r="A92">
        <v>24</v>
      </c>
      <c r="B92" t="s">
        <v>139</v>
      </c>
      <c r="C92" t="s">
        <v>164</v>
      </c>
      <c r="D92">
        <v>0</v>
      </c>
      <c r="E92">
        <v>0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2">
      <c r="A93">
        <v>24</v>
      </c>
      <c r="B93">
        <v>120.14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2">
      <c r="A94">
        <v>25</v>
      </c>
      <c r="B94" t="s">
        <v>139</v>
      </c>
      <c r="C94" t="s">
        <v>206</v>
      </c>
      <c r="D94">
        <v>0</v>
      </c>
      <c r="E94">
        <v>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2">
      <c r="A95">
        <v>25</v>
      </c>
      <c r="B95">
        <v>117.17</v>
      </c>
      <c r="C95" t="s">
        <v>207</v>
      </c>
      <c r="D95">
        <v>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</row>
    <row r="96" spans="1:21" x14ac:dyDescent="0.2">
      <c r="A96">
        <v>25</v>
      </c>
      <c r="B96">
        <v>120.14</v>
      </c>
      <c r="C96" t="s">
        <v>208</v>
      </c>
      <c r="D96">
        <v>0</v>
      </c>
      <c r="E96">
        <v>0</v>
      </c>
      <c r="F96">
        <v>0</v>
      </c>
      <c r="G96">
        <v>0</v>
      </c>
      <c r="H96">
        <v>1</v>
      </c>
      <c r="I96">
        <v>0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0</v>
      </c>
    </row>
    <row r="97" spans="1:21" x14ac:dyDescent="0.2">
      <c r="A97">
        <v>25</v>
      </c>
      <c r="B97">
        <v>120.17</v>
      </c>
      <c r="C97" t="s">
        <v>209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2">
      <c r="A98">
        <v>26</v>
      </c>
      <c r="B98">
        <v>120.14</v>
      </c>
      <c r="C98" t="s">
        <v>210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1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2">
      <c r="A99">
        <v>26</v>
      </c>
      <c r="B99" t="s">
        <v>139</v>
      </c>
      <c r="C99" t="s">
        <v>211</v>
      </c>
      <c r="D99">
        <v>0</v>
      </c>
      <c r="E99">
        <v>0</v>
      </c>
      <c r="F99">
        <v>1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2">
      <c r="A100">
        <v>26</v>
      </c>
      <c r="B100">
        <v>120.17</v>
      </c>
      <c r="C100" t="s">
        <v>212</v>
      </c>
      <c r="D100">
        <v>0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2">
      <c r="A101">
        <v>26</v>
      </c>
      <c r="B101">
        <v>117.17</v>
      </c>
      <c r="C101" t="s">
        <v>213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2">
      <c r="A102">
        <v>27</v>
      </c>
      <c r="B102">
        <v>120.17</v>
      </c>
      <c r="C102" t="s">
        <v>214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2">
      <c r="A103">
        <v>27</v>
      </c>
      <c r="B103">
        <v>120.14</v>
      </c>
      <c r="C103" t="s">
        <v>176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2">
      <c r="A104">
        <v>27</v>
      </c>
      <c r="B104">
        <v>117.17</v>
      </c>
      <c r="C104" t="s">
        <v>215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1</v>
      </c>
      <c r="T104">
        <v>0</v>
      </c>
      <c r="U104">
        <v>0</v>
      </c>
    </row>
    <row r="105" spans="1:21" x14ac:dyDescent="0.2">
      <c r="A105">
        <v>27</v>
      </c>
      <c r="B105" t="s">
        <v>139</v>
      </c>
      <c r="C105" t="s">
        <v>216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2">
      <c r="A106">
        <v>28</v>
      </c>
      <c r="B106">
        <v>117.17</v>
      </c>
      <c r="C106" t="s">
        <v>217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2">
      <c r="A107">
        <v>28</v>
      </c>
      <c r="B107">
        <v>120.17</v>
      </c>
      <c r="C107" t="s">
        <v>218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2">
      <c r="A108">
        <v>28</v>
      </c>
      <c r="B108" t="s">
        <v>139</v>
      </c>
      <c r="C108" t="s">
        <v>219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0</v>
      </c>
      <c r="T108">
        <v>1</v>
      </c>
      <c r="U108">
        <v>0</v>
      </c>
    </row>
    <row r="109" spans="1:21" x14ac:dyDescent="0.2">
      <c r="A109">
        <v>28</v>
      </c>
      <c r="B109">
        <v>120.14</v>
      </c>
      <c r="C109" t="s">
        <v>220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1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2">
      <c r="A110">
        <v>29</v>
      </c>
      <c r="B110" t="s">
        <v>139</v>
      </c>
      <c r="C110" t="s">
        <v>149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2">
      <c r="A111">
        <v>29</v>
      </c>
      <c r="B111">
        <v>117.17</v>
      </c>
      <c r="C111" t="s">
        <v>221</v>
      </c>
      <c r="D111">
        <v>0</v>
      </c>
      <c r="E111">
        <v>1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</v>
      </c>
    </row>
    <row r="112" spans="1:21" x14ac:dyDescent="0.2">
      <c r="A112">
        <v>29</v>
      </c>
      <c r="B112">
        <v>120.14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2">
      <c r="A113">
        <v>29</v>
      </c>
      <c r="B113">
        <v>120.17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2">
      <c r="A114">
        <v>30</v>
      </c>
      <c r="B114">
        <v>120.14</v>
      </c>
      <c r="C114" t="s">
        <v>190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</v>
      </c>
    </row>
    <row r="115" spans="1:21" x14ac:dyDescent="0.2">
      <c r="A115">
        <v>30</v>
      </c>
      <c r="B115" t="s">
        <v>139</v>
      </c>
      <c r="C115" t="s">
        <v>222</v>
      </c>
      <c r="D115">
        <v>0</v>
      </c>
      <c r="E115">
        <v>0</v>
      </c>
      <c r="F115">
        <v>1</v>
      </c>
      <c r="G115">
        <v>0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2">
      <c r="A116">
        <v>30</v>
      </c>
      <c r="B116">
        <v>120.17</v>
      </c>
      <c r="C116" t="s">
        <v>223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</v>
      </c>
    </row>
    <row r="117" spans="1:21" x14ac:dyDescent="0.2">
      <c r="A117">
        <v>30</v>
      </c>
      <c r="B117">
        <v>117.17</v>
      </c>
      <c r="C117" t="s">
        <v>224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1</v>
      </c>
      <c r="S117">
        <v>0</v>
      </c>
      <c r="T117">
        <v>0</v>
      </c>
      <c r="U117">
        <v>0</v>
      </c>
    </row>
    <row r="118" spans="1:21" x14ac:dyDescent="0.2">
      <c r="A118">
        <v>31</v>
      </c>
      <c r="B118">
        <v>120.17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2">
      <c r="A119">
        <v>31</v>
      </c>
      <c r="B119">
        <v>120.14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2">
      <c r="A120">
        <v>31</v>
      </c>
      <c r="B120">
        <v>117.17</v>
      </c>
      <c r="C120" t="s">
        <v>158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1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2">
      <c r="A121">
        <v>31</v>
      </c>
      <c r="B121" t="s">
        <v>139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2">
      <c r="A122">
        <v>32</v>
      </c>
      <c r="B122">
        <v>117.17</v>
      </c>
      <c r="C122" t="s">
        <v>225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</v>
      </c>
    </row>
    <row r="123" spans="1:21" x14ac:dyDescent="0.2">
      <c r="A123">
        <v>32</v>
      </c>
      <c r="B123">
        <v>120.17</v>
      </c>
      <c r="C123" t="s">
        <v>226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>
        <v>0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</v>
      </c>
    </row>
    <row r="124" spans="1:21" x14ac:dyDescent="0.2">
      <c r="A124">
        <v>32</v>
      </c>
      <c r="B124" t="s">
        <v>139</v>
      </c>
      <c r="C124" t="s">
        <v>227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</v>
      </c>
    </row>
    <row r="125" spans="1:21" x14ac:dyDescent="0.2">
      <c r="A125">
        <v>32</v>
      </c>
      <c r="B125">
        <v>120.14</v>
      </c>
      <c r="C125" t="s">
        <v>228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>
        <v>0</v>
      </c>
      <c r="Q125">
        <v>0</v>
      </c>
      <c r="R125">
        <v>0</v>
      </c>
      <c r="S125">
        <v>1</v>
      </c>
      <c r="T125">
        <v>0</v>
      </c>
      <c r="U125">
        <v>0</v>
      </c>
    </row>
    <row r="126" spans="1:21" x14ac:dyDescent="0.2">
      <c r="A126">
        <v>33</v>
      </c>
      <c r="B126" t="s">
        <v>139</v>
      </c>
      <c r="C126" t="s">
        <v>164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2">
      <c r="A127">
        <v>33</v>
      </c>
      <c r="B127">
        <v>117.17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2">
      <c r="A128">
        <v>33</v>
      </c>
      <c r="B128">
        <v>120.14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2">
      <c r="A129">
        <v>33</v>
      </c>
      <c r="B129">
        <v>120.17</v>
      </c>
      <c r="C129" t="s">
        <v>164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2">
      <c r="A130">
        <v>34</v>
      </c>
      <c r="B130">
        <v>120.14</v>
      </c>
      <c r="C130" t="s">
        <v>164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2">
      <c r="A131">
        <v>34</v>
      </c>
      <c r="B131" t="s">
        <v>139</v>
      </c>
      <c r="C131" t="s">
        <v>164</v>
      </c>
      <c r="D131">
        <v>0</v>
      </c>
      <c r="E131">
        <v>0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2">
      <c r="A132">
        <v>34</v>
      </c>
      <c r="B132">
        <v>120.17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2">
      <c r="A133">
        <v>34</v>
      </c>
      <c r="B133">
        <v>117.17</v>
      </c>
      <c r="C133" t="s">
        <v>164</v>
      </c>
      <c r="D133">
        <v>0</v>
      </c>
      <c r="E133">
        <v>0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2">
      <c r="A134">
        <v>35</v>
      </c>
      <c r="B134">
        <v>120.17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2">
      <c r="A135">
        <v>35</v>
      </c>
      <c r="B135">
        <v>120.14</v>
      </c>
      <c r="C135" t="s">
        <v>164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2">
      <c r="A136">
        <v>35</v>
      </c>
      <c r="B136">
        <v>117.17</v>
      </c>
      <c r="C136" t="s">
        <v>229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2">
      <c r="A137">
        <v>35</v>
      </c>
      <c r="B137" t="s">
        <v>139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2">
      <c r="A138">
        <v>36</v>
      </c>
      <c r="B138">
        <v>117.17</v>
      </c>
      <c r="C138" t="s">
        <v>230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2">
      <c r="A139">
        <v>36</v>
      </c>
      <c r="B139">
        <v>120.17</v>
      </c>
      <c r="C139" t="s">
        <v>231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1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2">
      <c r="A140">
        <v>36</v>
      </c>
      <c r="B140" t="s">
        <v>139</v>
      </c>
      <c r="C140" t="s">
        <v>232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1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2">
      <c r="A141">
        <v>36</v>
      </c>
      <c r="B141">
        <v>120.14</v>
      </c>
      <c r="C141" t="s">
        <v>233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0</v>
      </c>
    </row>
    <row r="142" spans="1:21" x14ac:dyDescent="0.2">
      <c r="A142">
        <v>37</v>
      </c>
      <c r="B142" t="s">
        <v>139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2">
      <c r="A143">
        <v>37</v>
      </c>
      <c r="B143">
        <v>117.17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2">
      <c r="A144">
        <v>37</v>
      </c>
      <c r="B144">
        <v>120.14</v>
      </c>
      <c r="C144" t="s">
        <v>234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2">
      <c r="A145">
        <v>37</v>
      </c>
      <c r="B145">
        <v>120.17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2">
      <c r="A146">
        <v>38</v>
      </c>
      <c r="B146">
        <v>120.14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2">
      <c r="A147">
        <v>38</v>
      </c>
      <c r="B147" t="s">
        <v>139</v>
      </c>
      <c r="C147" t="s">
        <v>142</v>
      </c>
      <c r="D147">
        <v>0</v>
      </c>
      <c r="E147">
        <v>0</v>
      </c>
      <c r="F147">
        <v>1</v>
      </c>
      <c r="G147">
        <v>0</v>
      </c>
      <c r="H147">
        <v>0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2">
      <c r="A148">
        <v>38</v>
      </c>
      <c r="B148">
        <v>120.17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2">
      <c r="A149">
        <v>38</v>
      </c>
      <c r="B149">
        <v>117.17</v>
      </c>
      <c r="C149" t="s">
        <v>177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2">
      <c r="A150">
        <v>39</v>
      </c>
      <c r="B150">
        <v>120.17</v>
      </c>
      <c r="C150" t="s">
        <v>235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2">
      <c r="A151">
        <v>39</v>
      </c>
      <c r="B151">
        <v>120.14</v>
      </c>
      <c r="C151" t="s">
        <v>158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2">
      <c r="A152">
        <v>39</v>
      </c>
      <c r="B152">
        <v>117.17</v>
      </c>
      <c r="C152" t="s">
        <v>236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2">
      <c r="A153">
        <v>39</v>
      </c>
      <c r="B153" t="s">
        <v>139</v>
      </c>
      <c r="C153" t="s">
        <v>237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1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2">
      <c r="A154">
        <v>40</v>
      </c>
      <c r="B154">
        <v>117.17</v>
      </c>
      <c r="C154" t="s">
        <v>238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2">
      <c r="A155">
        <v>40</v>
      </c>
      <c r="B155">
        <v>120.17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2">
      <c r="A156">
        <v>40</v>
      </c>
      <c r="B156" t="s">
        <v>139</v>
      </c>
      <c r="C156" t="s">
        <v>176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2">
      <c r="A157">
        <v>40</v>
      </c>
      <c r="B157">
        <v>120.14</v>
      </c>
      <c r="C157" t="s">
        <v>239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2">
      <c r="A158">
        <v>41</v>
      </c>
      <c r="B158" t="s">
        <v>139</v>
      </c>
      <c r="C158" t="s">
        <v>240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1</v>
      </c>
      <c r="S158">
        <v>0</v>
      </c>
      <c r="T158">
        <v>0</v>
      </c>
      <c r="U158">
        <v>0</v>
      </c>
    </row>
    <row r="159" spans="1:21" x14ac:dyDescent="0.2">
      <c r="A159">
        <v>41</v>
      </c>
      <c r="B159">
        <v>117.17</v>
      </c>
      <c r="C159" t="s">
        <v>241</v>
      </c>
      <c r="D159">
        <v>0</v>
      </c>
      <c r="E159">
        <v>0</v>
      </c>
      <c r="F159">
        <v>1</v>
      </c>
      <c r="G159">
        <v>0</v>
      </c>
      <c r="H159">
        <v>0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2">
      <c r="A160">
        <v>41</v>
      </c>
      <c r="B160">
        <v>120.14</v>
      </c>
      <c r="C160" t="s">
        <v>242</v>
      </c>
      <c r="D160">
        <v>0</v>
      </c>
      <c r="E160">
        <v>0</v>
      </c>
      <c r="F160">
        <v>1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2">
      <c r="A161">
        <v>41</v>
      </c>
      <c r="B161">
        <v>120.17</v>
      </c>
      <c r="C161" t="s">
        <v>243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1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2">
      <c r="A162">
        <v>42</v>
      </c>
      <c r="B162">
        <v>120.14</v>
      </c>
      <c r="C162" t="s">
        <v>244</v>
      </c>
      <c r="D162">
        <v>0</v>
      </c>
      <c r="E162">
        <v>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2">
      <c r="A163">
        <v>42</v>
      </c>
      <c r="B163" t="s">
        <v>139</v>
      </c>
      <c r="C163" t="s">
        <v>245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1</v>
      </c>
      <c r="R163">
        <v>1</v>
      </c>
      <c r="S163">
        <v>0</v>
      </c>
      <c r="T163">
        <v>0</v>
      </c>
      <c r="U163">
        <v>0</v>
      </c>
    </row>
    <row r="164" spans="1:21" x14ac:dyDescent="0.2">
      <c r="A164">
        <v>42</v>
      </c>
      <c r="B164">
        <v>120.17</v>
      </c>
      <c r="C164" t="s">
        <v>246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2">
      <c r="A165">
        <v>42</v>
      </c>
      <c r="B165">
        <v>117.17</v>
      </c>
      <c r="C165" t="s">
        <v>247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2">
      <c r="A166">
        <v>43</v>
      </c>
      <c r="B166">
        <v>120.17</v>
      </c>
      <c r="C166" t="s">
        <v>248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2">
      <c r="A167">
        <v>43</v>
      </c>
      <c r="B167">
        <v>120.14</v>
      </c>
      <c r="C167" t="s">
        <v>249</v>
      </c>
      <c r="D167">
        <v>1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2">
      <c r="A168">
        <v>43</v>
      </c>
      <c r="B168">
        <v>117.17</v>
      </c>
      <c r="C168" t="s">
        <v>250</v>
      </c>
      <c r="D168">
        <v>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0</v>
      </c>
      <c r="U168">
        <v>0</v>
      </c>
    </row>
    <row r="169" spans="1:21" x14ac:dyDescent="0.2">
      <c r="A169">
        <v>43</v>
      </c>
      <c r="B169" t="s">
        <v>139</v>
      </c>
      <c r="C169" t="s">
        <v>251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0</v>
      </c>
      <c r="T169">
        <v>0</v>
      </c>
      <c r="U169">
        <v>0</v>
      </c>
    </row>
    <row r="170" spans="1:21" x14ac:dyDescent="0.2">
      <c r="A170">
        <v>44</v>
      </c>
      <c r="B170">
        <v>117.17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2">
      <c r="A171">
        <v>44</v>
      </c>
      <c r="B171">
        <v>120.17</v>
      </c>
      <c r="C171" t="s">
        <v>234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2">
      <c r="A172">
        <v>44</v>
      </c>
      <c r="B172" t="s">
        <v>139</v>
      </c>
      <c r="C172" t="s">
        <v>252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2">
      <c r="A173">
        <v>44</v>
      </c>
      <c r="B173">
        <v>120.14</v>
      </c>
      <c r="C173" t="s">
        <v>253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2">
      <c r="A174">
        <v>45</v>
      </c>
      <c r="B174" t="s">
        <v>139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2">
      <c r="A175">
        <v>45</v>
      </c>
      <c r="B175">
        <v>117.17</v>
      </c>
      <c r="C175" t="s">
        <v>158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2">
      <c r="A176">
        <v>45</v>
      </c>
      <c r="B176">
        <v>120.14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2">
      <c r="A177">
        <v>45</v>
      </c>
      <c r="B177">
        <v>120.17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2">
      <c r="A178">
        <v>46</v>
      </c>
      <c r="B178">
        <v>120.14</v>
      </c>
      <c r="C178" t="s">
        <v>254</v>
      </c>
      <c r="D178">
        <v>0</v>
      </c>
      <c r="E178">
        <v>0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1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2">
      <c r="A179">
        <v>46</v>
      </c>
      <c r="B179" t="s">
        <v>139</v>
      </c>
      <c r="C179" t="s">
        <v>255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2">
      <c r="A180">
        <v>46</v>
      </c>
      <c r="B180">
        <v>120.17</v>
      </c>
      <c r="C180" t="s">
        <v>158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2">
      <c r="A181">
        <v>46</v>
      </c>
      <c r="B181">
        <v>117.17</v>
      </c>
      <c r="C181" t="s">
        <v>256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2">
      <c r="A182">
        <v>47</v>
      </c>
      <c r="B182">
        <v>120.17</v>
      </c>
      <c r="C182" t="s">
        <v>164</v>
      </c>
      <c r="D182">
        <v>0</v>
      </c>
      <c r="E182">
        <v>0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2">
      <c r="A183">
        <v>47</v>
      </c>
      <c r="B183">
        <v>120.14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2">
      <c r="A184">
        <v>47</v>
      </c>
      <c r="B184">
        <v>117.17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2">
      <c r="A185">
        <v>47</v>
      </c>
      <c r="B185" t="s">
        <v>139</v>
      </c>
      <c r="C185" t="s">
        <v>158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2">
      <c r="A186">
        <v>48</v>
      </c>
      <c r="B186">
        <v>117.17</v>
      </c>
      <c r="C186" t="s">
        <v>257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2">
      <c r="A187">
        <v>48</v>
      </c>
      <c r="B187">
        <v>120.17</v>
      </c>
      <c r="C187" t="s">
        <v>258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2">
      <c r="A188">
        <v>48</v>
      </c>
      <c r="B188" t="s">
        <v>139</v>
      </c>
      <c r="C188" t="s">
        <v>259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0</v>
      </c>
      <c r="J188">
        <v>1</v>
      </c>
      <c r="K188">
        <v>1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2">
      <c r="A189">
        <v>48</v>
      </c>
      <c r="B189">
        <v>120.14</v>
      </c>
      <c r="C189" t="s">
        <v>260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2">
      <c r="A190">
        <v>49</v>
      </c>
      <c r="B190" t="s">
        <v>139</v>
      </c>
      <c r="C190" t="s">
        <v>261</v>
      </c>
      <c r="D190">
        <v>1</v>
      </c>
      <c r="E190">
        <v>0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2">
      <c r="A191">
        <v>49</v>
      </c>
      <c r="B191">
        <v>117.17</v>
      </c>
      <c r="C191" t="s">
        <v>262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1</v>
      </c>
      <c r="K191">
        <v>1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2">
      <c r="A192">
        <v>49</v>
      </c>
      <c r="B192">
        <v>120.14</v>
      </c>
      <c r="C192" t="s">
        <v>263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1</v>
      </c>
    </row>
    <row r="193" spans="1:21" x14ac:dyDescent="0.2">
      <c r="A193">
        <v>49</v>
      </c>
      <c r="B193">
        <v>120.17</v>
      </c>
      <c r="C193" t="s">
        <v>206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2">
      <c r="A194">
        <v>50</v>
      </c>
      <c r="B194">
        <v>120.14</v>
      </c>
      <c r="C194" t="s">
        <v>264</v>
      </c>
      <c r="D194">
        <v>0</v>
      </c>
      <c r="E194">
        <v>1</v>
      </c>
      <c r="F194">
        <v>1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1</v>
      </c>
    </row>
    <row r="195" spans="1:21" x14ac:dyDescent="0.2">
      <c r="A195">
        <v>50</v>
      </c>
      <c r="B195" t="s">
        <v>139</v>
      </c>
      <c r="C195" t="s">
        <v>265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2">
      <c r="A196">
        <v>50</v>
      </c>
      <c r="B196">
        <v>120.17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2">
      <c r="A197">
        <v>50</v>
      </c>
      <c r="B197">
        <v>117.17</v>
      </c>
      <c r="C197" t="s">
        <v>142</v>
      </c>
      <c r="D197">
        <v>0</v>
      </c>
      <c r="E197">
        <v>0</v>
      </c>
      <c r="F197">
        <v>1</v>
      </c>
      <c r="G197">
        <v>0</v>
      </c>
      <c r="H197">
        <v>0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2">
      <c r="A198">
        <v>51</v>
      </c>
      <c r="B198">
        <v>120.17</v>
      </c>
      <c r="C198" t="s">
        <v>164</v>
      </c>
      <c r="D198">
        <v>0</v>
      </c>
      <c r="E198">
        <v>0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2">
      <c r="A199">
        <v>51</v>
      </c>
      <c r="B199">
        <v>120.14</v>
      </c>
      <c r="C199" t="s">
        <v>158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2">
      <c r="A200">
        <v>51</v>
      </c>
      <c r="B200">
        <v>117.17</v>
      </c>
      <c r="C200" t="s">
        <v>158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2">
      <c r="A201">
        <v>51</v>
      </c>
      <c r="B201" t="s">
        <v>139</v>
      </c>
      <c r="C201" t="s">
        <v>164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2">
      <c r="A202">
        <v>52</v>
      </c>
      <c r="B202">
        <v>117.17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2">
      <c r="A203">
        <v>52</v>
      </c>
      <c r="B203">
        <v>120.17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2">
      <c r="A204">
        <v>52</v>
      </c>
      <c r="B204" t="s">
        <v>139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2">
      <c r="A205">
        <v>52</v>
      </c>
      <c r="B205">
        <v>120.14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2">
      <c r="A206">
        <v>53</v>
      </c>
      <c r="B206" t="s">
        <v>139</v>
      </c>
      <c r="C206" t="s">
        <v>266</v>
      </c>
      <c r="D206">
        <v>0</v>
      </c>
      <c r="E206">
        <v>0</v>
      </c>
      <c r="F206">
        <v>1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2">
      <c r="A207">
        <v>53</v>
      </c>
      <c r="B207">
        <v>117.17</v>
      </c>
      <c r="C207" t="s">
        <v>267</v>
      </c>
      <c r="D207">
        <v>0</v>
      </c>
      <c r="E207">
        <v>0</v>
      </c>
      <c r="F207">
        <v>1</v>
      </c>
      <c r="G207">
        <v>0</v>
      </c>
      <c r="H207">
        <v>0</v>
      </c>
      <c r="I207">
        <v>1</v>
      </c>
      <c r="J207">
        <v>0</v>
      </c>
      <c r="K207">
        <v>1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2">
      <c r="A208">
        <v>53</v>
      </c>
      <c r="B208">
        <v>120.14</v>
      </c>
      <c r="C208" t="s">
        <v>268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</v>
      </c>
    </row>
    <row r="209" spans="1:21" x14ac:dyDescent="0.2">
      <c r="A209">
        <v>53</v>
      </c>
      <c r="B209">
        <v>120.17</v>
      </c>
      <c r="C209" t="s">
        <v>269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2">
      <c r="A210">
        <v>54</v>
      </c>
      <c r="B210">
        <v>120.14</v>
      </c>
      <c r="C210" t="s">
        <v>270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1</v>
      </c>
      <c r="K210">
        <v>1</v>
      </c>
      <c r="L210">
        <v>1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2">
      <c r="A211">
        <v>54</v>
      </c>
      <c r="B211" t="s">
        <v>139</v>
      </c>
      <c r="C211" t="s">
        <v>271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2">
      <c r="A212">
        <v>54</v>
      </c>
      <c r="B212">
        <v>120.17</v>
      </c>
      <c r="C212" t="s">
        <v>272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2">
      <c r="A213">
        <v>54</v>
      </c>
      <c r="B213">
        <v>117.17</v>
      </c>
      <c r="C213" t="s">
        <v>273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2">
      <c r="A214">
        <v>55</v>
      </c>
      <c r="B214">
        <v>120.17</v>
      </c>
      <c r="C214" t="s">
        <v>164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2">
      <c r="A215">
        <v>55</v>
      </c>
      <c r="B215">
        <v>120.14</v>
      </c>
      <c r="C215" t="s">
        <v>274</v>
      </c>
      <c r="D215">
        <v>1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2">
      <c r="A216">
        <v>55</v>
      </c>
      <c r="B216">
        <v>117.17</v>
      </c>
      <c r="C216" t="s">
        <v>232</v>
      </c>
      <c r="D216">
        <v>1</v>
      </c>
      <c r="E216">
        <v>0</v>
      </c>
      <c r="F216">
        <v>0</v>
      </c>
      <c r="G216">
        <v>0</v>
      </c>
      <c r="H216">
        <v>0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2">
      <c r="A217">
        <v>55</v>
      </c>
      <c r="B217" t="s">
        <v>139</v>
      </c>
      <c r="C217" t="s">
        <v>275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2">
      <c r="A218">
        <v>56</v>
      </c>
      <c r="B218">
        <v>117.17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2">
      <c r="A219">
        <v>56</v>
      </c>
      <c r="B219">
        <v>120.17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2">
      <c r="A220">
        <v>56</v>
      </c>
      <c r="B220" t="s">
        <v>139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2">
      <c r="A221">
        <v>56</v>
      </c>
      <c r="B221">
        <v>120.14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2">
      <c r="A222">
        <v>57</v>
      </c>
      <c r="B222" t="s">
        <v>139</v>
      </c>
      <c r="C222" t="s">
        <v>164</v>
      </c>
      <c r="D222">
        <v>0</v>
      </c>
      <c r="E222">
        <v>0</v>
      </c>
      <c r="F222">
        <v>1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2">
      <c r="A223">
        <v>57</v>
      </c>
      <c r="B223">
        <v>117.17</v>
      </c>
      <c r="C223" t="s">
        <v>276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0</v>
      </c>
      <c r="J223">
        <v>1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2">
      <c r="A224">
        <v>57</v>
      </c>
      <c r="B224">
        <v>120.14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2">
      <c r="A225">
        <v>57</v>
      </c>
      <c r="B225">
        <v>120.17</v>
      </c>
      <c r="C225" t="s">
        <v>164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2">
      <c r="A226">
        <v>58</v>
      </c>
      <c r="B226">
        <v>120.14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2">
      <c r="A227">
        <v>58</v>
      </c>
      <c r="B227" t="s">
        <v>139</v>
      </c>
      <c r="C227" t="s">
        <v>190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</v>
      </c>
    </row>
    <row r="228" spans="1:21" x14ac:dyDescent="0.2">
      <c r="A228">
        <v>58</v>
      </c>
      <c r="B228">
        <v>120.17</v>
      </c>
      <c r="C228" t="s">
        <v>158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2">
      <c r="A229">
        <v>58</v>
      </c>
      <c r="B229">
        <v>117.17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2">
      <c r="A230">
        <v>59</v>
      </c>
      <c r="B230">
        <v>120.17</v>
      </c>
      <c r="C230" t="s">
        <v>164</v>
      </c>
      <c r="D230">
        <v>0</v>
      </c>
      <c r="E230">
        <v>0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2">
      <c r="A231">
        <v>59</v>
      </c>
      <c r="B231">
        <v>120.14</v>
      </c>
      <c r="C231" t="s">
        <v>277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2">
      <c r="A232">
        <v>59</v>
      </c>
      <c r="B232">
        <v>117.17</v>
      </c>
      <c r="C232" t="s">
        <v>278</v>
      </c>
      <c r="D232">
        <v>0</v>
      </c>
      <c r="E232">
        <v>0</v>
      </c>
      <c r="F232">
        <v>0</v>
      </c>
      <c r="G232">
        <v>0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2">
      <c r="A233">
        <v>59</v>
      </c>
      <c r="B233" t="s">
        <v>139</v>
      </c>
      <c r="C233" t="s">
        <v>279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1</v>
      </c>
    </row>
    <row r="234" spans="1:21" x14ac:dyDescent="0.2">
      <c r="A234">
        <v>60</v>
      </c>
      <c r="B234">
        <v>117.17</v>
      </c>
      <c r="C234" t="s">
        <v>280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1</v>
      </c>
      <c r="R234">
        <v>0</v>
      </c>
      <c r="S234">
        <v>0</v>
      </c>
      <c r="T234">
        <v>0</v>
      </c>
      <c r="U234">
        <v>0</v>
      </c>
    </row>
    <row r="235" spans="1:21" x14ac:dyDescent="0.2">
      <c r="A235">
        <v>60</v>
      </c>
      <c r="B235">
        <v>120.17</v>
      </c>
      <c r="C235" t="s">
        <v>281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1</v>
      </c>
      <c r="T235">
        <v>0</v>
      </c>
      <c r="U235">
        <v>0</v>
      </c>
    </row>
    <row r="236" spans="1:21" x14ac:dyDescent="0.2">
      <c r="A236">
        <v>60</v>
      </c>
      <c r="B236" t="s">
        <v>139</v>
      </c>
      <c r="C236" t="s">
        <v>282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2">
      <c r="A237">
        <v>60</v>
      </c>
      <c r="B237">
        <v>120.14</v>
      </c>
      <c r="C237" t="s">
        <v>283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1</v>
      </c>
      <c r="T237">
        <v>0</v>
      </c>
      <c r="U237">
        <v>0</v>
      </c>
    </row>
    <row r="238" spans="1:21" x14ac:dyDescent="0.2">
      <c r="A238">
        <v>61</v>
      </c>
      <c r="B238" t="s">
        <v>139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2">
      <c r="A239">
        <v>61</v>
      </c>
      <c r="B239">
        <v>117.17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2">
      <c r="A240">
        <v>61</v>
      </c>
      <c r="B240">
        <v>120.14</v>
      </c>
      <c r="C240" t="s">
        <v>164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2">
      <c r="A241">
        <v>61</v>
      </c>
      <c r="B241">
        <v>120.17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2">
      <c r="A242">
        <v>62</v>
      </c>
      <c r="B242">
        <v>120.14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2">
      <c r="A243">
        <v>62</v>
      </c>
      <c r="B243" t="s">
        <v>139</v>
      </c>
      <c r="C243" t="s">
        <v>164</v>
      </c>
      <c r="D243">
        <v>0</v>
      </c>
      <c r="E243">
        <v>0</v>
      </c>
      <c r="F243">
        <v>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2">
      <c r="A244">
        <v>62</v>
      </c>
      <c r="B244">
        <v>120.17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2">
      <c r="A245">
        <v>62</v>
      </c>
      <c r="B245">
        <v>117.17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2">
      <c r="A246">
        <v>63</v>
      </c>
      <c r="B246">
        <v>120.17</v>
      </c>
      <c r="C246" t="s">
        <v>284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1</v>
      </c>
    </row>
    <row r="247" spans="1:21" x14ac:dyDescent="0.2">
      <c r="A247">
        <v>63</v>
      </c>
      <c r="B247">
        <v>120.14</v>
      </c>
      <c r="C247" t="s">
        <v>285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2">
      <c r="A248">
        <v>63</v>
      </c>
      <c r="B248">
        <v>117.17</v>
      </c>
      <c r="C248" t="s">
        <v>286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2">
      <c r="A249">
        <v>63</v>
      </c>
      <c r="B249" t="s">
        <v>139</v>
      </c>
      <c r="C249" t="s">
        <v>164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2">
      <c r="A250">
        <v>65</v>
      </c>
      <c r="B250" t="s">
        <v>139</v>
      </c>
      <c r="C250" t="s">
        <v>287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2">
      <c r="A251">
        <v>65</v>
      </c>
      <c r="B251">
        <v>117.17</v>
      </c>
      <c r="C251" t="s">
        <v>288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1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2">
      <c r="A252">
        <v>65</v>
      </c>
      <c r="B252">
        <v>120.14</v>
      </c>
      <c r="C252" t="s">
        <v>289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</row>
    <row r="253" spans="1:21" x14ac:dyDescent="0.2">
      <c r="A253">
        <v>65</v>
      </c>
      <c r="B253">
        <v>120.17</v>
      </c>
      <c r="C253" t="s">
        <v>290</v>
      </c>
      <c r="D253">
        <v>0</v>
      </c>
      <c r="E253">
        <v>0</v>
      </c>
      <c r="F253">
        <v>1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2">
      <c r="A254">
        <v>66</v>
      </c>
      <c r="B254">
        <v>120.14</v>
      </c>
      <c r="C254" t="s">
        <v>291</v>
      </c>
      <c r="D254">
        <v>1</v>
      </c>
      <c r="E254">
        <v>0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2">
      <c r="A255">
        <v>66</v>
      </c>
      <c r="B255" t="s">
        <v>139</v>
      </c>
      <c r="C255" t="s">
        <v>292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2">
      <c r="A256">
        <v>66</v>
      </c>
      <c r="B256">
        <v>120.17</v>
      </c>
      <c r="C256" t="s">
        <v>293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2">
      <c r="A257">
        <v>66</v>
      </c>
      <c r="B257">
        <v>117.17</v>
      </c>
      <c r="C257" t="s">
        <v>283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</v>
      </c>
      <c r="T257">
        <v>0</v>
      </c>
      <c r="U257">
        <v>0</v>
      </c>
    </row>
    <row r="258" spans="1:21" x14ac:dyDescent="0.2">
      <c r="A258">
        <v>67</v>
      </c>
      <c r="B258">
        <v>120.17</v>
      </c>
      <c r="C258" t="s">
        <v>294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2">
      <c r="A259">
        <v>67</v>
      </c>
      <c r="B259">
        <v>120.14</v>
      </c>
      <c r="C259" t="s">
        <v>295</v>
      </c>
      <c r="D259">
        <v>0</v>
      </c>
      <c r="E259">
        <v>0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2">
      <c r="A260">
        <v>67</v>
      </c>
      <c r="B260">
        <v>117.17</v>
      </c>
      <c r="C260" t="s">
        <v>296</v>
      </c>
      <c r="D260">
        <v>0</v>
      </c>
      <c r="E260">
        <v>0</v>
      </c>
      <c r="F260">
        <v>0</v>
      </c>
      <c r="G260">
        <v>0</v>
      </c>
      <c r="H260">
        <v>1</v>
      </c>
      <c r="I260">
        <v>1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2">
      <c r="A261">
        <v>67</v>
      </c>
      <c r="B261" t="s">
        <v>139</v>
      </c>
      <c r="C261" t="s">
        <v>297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1</v>
      </c>
      <c r="T261">
        <v>0</v>
      </c>
      <c r="U261">
        <v>0</v>
      </c>
    </row>
    <row r="262" spans="1:21" x14ac:dyDescent="0.2">
      <c r="A262">
        <v>70</v>
      </c>
      <c r="B262">
        <v>120.14</v>
      </c>
      <c r="C262" t="s">
        <v>164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2">
      <c r="A263">
        <v>70</v>
      </c>
      <c r="B263" t="s">
        <v>139</v>
      </c>
      <c r="C263" t="s">
        <v>149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2">
      <c r="A264">
        <v>70</v>
      </c>
      <c r="B264">
        <v>120.17</v>
      </c>
      <c r="C264" t="s">
        <v>298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2">
      <c r="A265">
        <v>70</v>
      </c>
      <c r="B265">
        <v>117.17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2">
      <c r="A266">
        <v>71</v>
      </c>
      <c r="B266">
        <v>120.17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2">
      <c r="A267">
        <v>71</v>
      </c>
      <c r="B267">
        <v>120.14</v>
      </c>
      <c r="C267" t="s">
        <v>299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1</v>
      </c>
    </row>
    <row r="268" spans="1:21" x14ac:dyDescent="0.2">
      <c r="A268">
        <v>71</v>
      </c>
      <c r="B268">
        <v>117.17</v>
      </c>
      <c r="C268" t="s">
        <v>142</v>
      </c>
      <c r="D268">
        <v>0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2">
      <c r="A269">
        <v>71</v>
      </c>
      <c r="B269" t="s">
        <v>139</v>
      </c>
      <c r="C269" t="s">
        <v>176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2">
      <c r="A270">
        <v>72</v>
      </c>
      <c r="B270">
        <v>117.17</v>
      </c>
      <c r="C270" t="s">
        <v>300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1</v>
      </c>
      <c r="P270">
        <v>1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2">
      <c r="A271">
        <v>72</v>
      </c>
      <c r="B271">
        <v>120.17</v>
      </c>
      <c r="C271" t="s">
        <v>301</v>
      </c>
      <c r="D271">
        <v>0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1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2">
      <c r="A272">
        <v>72</v>
      </c>
      <c r="B272" t="s">
        <v>139</v>
      </c>
      <c r="C272" t="s">
        <v>302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1</v>
      </c>
      <c r="Q272">
        <v>1</v>
      </c>
      <c r="R272">
        <v>0</v>
      </c>
      <c r="S272">
        <v>0</v>
      </c>
      <c r="T272">
        <v>0</v>
      </c>
      <c r="U272">
        <v>0</v>
      </c>
    </row>
    <row r="273" spans="1:21" x14ac:dyDescent="0.2">
      <c r="A273">
        <v>72</v>
      </c>
      <c r="B273">
        <v>120.14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2">
      <c r="A274">
        <v>73</v>
      </c>
      <c r="B274" t="s">
        <v>139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2">
      <c r="A275">
        <v>73</v>
      </c>
      <c r="B275">
        <v>117.17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2">
      <c r="A276">
        <v>73</v>
      </c>
      <c r="B276">
        <v>120.14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2">
      <c r="A277">
        <v>73</v>
      </c>
      <c r="B277">
        <v>120.17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2">
      <c r="A278">
        <v>74</v>
      </c>
      <c r="B278">
        <v>120.14</v>
      </c>
      <c r="C278" t="s">
        <v>164</v>
      </c>
      <c r="D278">
        <v>0</v>
      </c>
      <c r="E278">
        <v>0</v>
      </c>
      <c r="F278">
        <v>1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2">
      <c r="A279">
        <v>74</v>
      </c>
      <c r="B279" t="s">
        <v>139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2">
      <c r="A280">
        <v>74</v>
      </c>
      <c r="B280">
        <v>120.17</v>
      </c>
      <c r="C280" t="s">
        <v>163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2">
      <c r="A281">
        <v>74</v>
      </c>
      <c r="B281">
        <v>117.17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2">
      <c r="A282">
        <v>75</v>
      </c>
      <c r="B282">
        <v>120.17</v>
      </c>
      <c r="C282" t="s">
        <v>303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2">
      <c r="A283">
        <v>75</v>
      </c>
      <c r="B283">
        <v>120.14</v>
      </c>
      <c r="C283" t="s">
        <v>304</v>
      </c>
      <c r="D283">
        <v>0</v>
      </c>
      <c r="E283">
        <v>1</v>
      </c>
      <c r="F283">
        <v>0</v>
      </c>
      <c r="G283">
        <v>1</v>
      </c>
      <c r="H283">
        <v>0</v>
      </c>
      <c r="I283">
        <v>1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1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1</v>
      </c>
    </row>
    <row r="284" spans="1:21" x14ac:dyDescent="0.2">
      <c r="A284">
        <v>75</v>
      </c>
      <c r="B284">
        <v>117.17</v>
      </c>
      <c r="C284" t="s">
        <v>22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2">
      <c r="A285">
        <v>75</v>
      </c>
      <c r="B285" t="s">
        <v>139</v>
      </c>
      <c r="C285" t="s">
        <v>305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1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2">
      <c r="A286">
        <v>76</v>
      </c>
      <c r="B286">
        <v>117.17</v>
      </c>
      <c r="C286" t="s">
        <v>306</v>
      </c>
      <c r="D286">
        <v>0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2">
      <c r="A287">
        <v>76</v>
      </c>
      <c r="B287">
        <v>120.17</v>
      </c>
      <c r="C287" t="s">
        <v>307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2">
      <c r="A288">
        <v>76</v>
      </c>
      <c r="B288" t="s">
        <v>139</v>
      </c>
      <c r="C288" t="s">
        <v>308</v>
      </c>
      <c r="D288">
        <v>0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2">
      <c r="A289">
        <v>76</v>
      </c>
      <c r="B289">
        <v>120.14</v>
      </c>
      <c r="C289" t="s">
        <v>173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2">
      <c r="A290">
        <v>77</v>
      </c>
      <c r="B290" t="s">
        <v>139</v>
      </c>
      <c r="C290" t="s">
        <v>174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0</v>
      </c>
    </row>
    <row r="291" spans="1:21" x14ac:dyDescent="0.2">
      <c r="A291">
        <v>77</v>
      </c>
      <c r="B291">
        <v>117.17</v>
      </c>
      <c r="C291" t="s">
        <v>309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2">
      <c r="A292">
        <v>77</v>
      </c>
      <c r="B292">
        <v>120.14</v>
      </c>
      <c r="C292" t="s">
        <v>310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1</v>
      </c>
      <c r="N292">
        <v>0</v>
      </c>
      <c r="O292">
        <v>1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2">
      <c r="A293">
        <v>77</v>
      </c>
      <c r="B293">
        <v>120.17</v>
      </c>
      <c r="C293" t="s">
        <v>311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1</v>
      </c>
      <c r="U293">
        <v>0</v>
      </c>
    </row>
    <row r="294" spans="1:21" x14ac:dyDescent="0.2">
      <c r="A294">
        <v>82</v>
      </c>
      <c r="B294" t="s">
        <v>139</v>
      </c>
      <c r="C294" t="s">
        <v>312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1</v>
      </c>
      <c r="P294">
        <v>1</v>
      </c>
      <c r="Q294">
        <v>0</v>
      </c>
      <c r="R294">
        <v>0</v>
      </c>
      <c r="S294">
        <v>0</v>
      </c>
      <c r="T294">
        <v>0</v>
      </c>
      <c r="U294">
        <v>1</v>
      </c>
    </row>
    <row r="295" spans="1:21" x14ac:dyDescent="0.2">
      <c r="A295">
        <v>82</v>
      </c>
      <c r="B295">
        <v>120.17</v>
      </c>
      <c r="C295" t="s">
        <v>313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0</v>
      </c>
    </row>
    <row r="296" spans="1:21" x14ac:dyDescent="0.2">
      <c r="A296">
        <v>82</v>
      </c>
      <c r="B296">
        <v>120.14</v>
      </c>
      <c r="C296" t="s">
        <v>314</v>
      </c>
      <c r="D296">
        <v>0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1</v>
      </c>
    </row>
    <row r="297" spans="1:21" x14ac:dyDescent="0.2">
      <c r="A297">
        <v>82</v>
      </c>
      <c r="B297">
        <v>117.17</v>
      </c>
      <c r="C297" t="s">
        <v>315</v>
      </c>
      <c r="D297">
        <v>0</v>
      </c>
      <c r="E297">
        <v>1</v>
      </c>
      <c r="F297">
        <v>0</v>
      </c>
      <c r="G297">
        <v>0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1</v>
      </c>
      <c r="T297">
        <v>0</v>
      </c>
      <c r="U297">
        <v>1</v>
      </c>
    </row>
    <row r="298" spans="1:21" x14ac:dyDescent="0.2">
      <c r="A298">
        <v>83</v>
      </c>
      <c r="B298" t="s">
        <v>139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2">
      <c r="A299">
        <v>83</v>
      </c>
      <c r="B299">
        <v>120.14</v>
      </c>
      <c r="C299" t="s">
        <v>316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1</v>
      </c>
      <c r="J299">
        <v>1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2">
      <c r="A300">
        <v>83</v>
      </c>
      <c r="B300">
        <v>117.17</v>
      </c>
      <c r="C300" t="s">
        <v>317</v>
      </c>
      <c r="D300">
        <v>0</v>
      </c>
      <c r="E300">
        <v>0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1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2">
      <c r="A301">
        <v>83</v>
      </c>
      <c r="B301">
        <v>120.17</v>
      </c>
      <c r="C301" t="s">
        <v>164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2">
      <c r="A302">
        <v>84</v>
      </c>
      <c r="B302">
        <v>117.17</v>
      </c>
      <c r="C302" t="s">
        <v>234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2">
      <c r="A303">
        <v>84</v>
      </c>
      <c r="B303">
        <v>120.17</v>
      </c>
      <c r="C303" t="s">
        <v>318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1</v>
      </c>
      <c r="O303">
        <v>1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2">
      <c r="A304">
        <v>84</v>
      </c>
      <c r="B304" t="s">
        <v>139</v>
      </c>
      <c r="C304" t="s">
        <v>164</v>
      </c>
      <c r="D304">
        <v>0</v>
      </c>
      <c r="E304">
        <v>0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2">
      <c r="A305">
        <v>84</v>
      </c>
      <c r="B305">
        <v>120.14</v>
      </c>
      <c r="C305" t="s">
        <v>319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2">
      <c r="A306">
        <v>87</v>
      </c>
      <c r="B306">
        <v>120.17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2">
      <c r="A307">
        <v>87</v>
      </c>
      <c r="B307">
        <v>120.14</v>
      </c>
      <c r="C307" t="s">
        <v>158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1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2">
      <c r="A308">
        <v>87</v>
      </c>
      <c r="B308">
        <v>117.17</v>
      </c>
      <c r="C308" t="s">
        <v>320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1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</row>
    <row r="309" spans="1:21" x14ac:dyDescent="0.2">
      <c r="A309">
        <v>87</v>
      </c>
      <c r="B309" t="s">
        <v>139</v>
      </c>
      <c r="C309" t="s">
        <v>174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1</v>
      </c>
      <c r="R309">
        <v>0</v>
      </c>
      <c r="S309">
        <v>0</v>
      </c>
      <c r="T309">
        <v>0</v>
      </c>
      <c r="U309">
        <v>0</v>
      </c>
    </row>
    <row r="310" spans="1:21" x14ac:dyDescent="0.2">
      <c r="A310">
        <v>89</v>
      </c>
      <c r="B310" t="s">
        <v>139</v>
      </c>
      <c r="C310" t="s">
        <v>321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2">
      <c r="A311">
        <v>89</v>
      </c>
      <c r="B311">
        <v>117.17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2">
      <c r="A312">
        <v>89</v>
      </c>
      <c r="B312">
        <v>120.14</v>
      </c>
      <c r="C312" t="s">
        <v>322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1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2">
      <c r="A313">
        <v>89</v>
      </c>
      <c r="B313">
        <v>120.17</v>
      </c>
      <c r="C313" t="s">
        <v>323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2">
      <c r="A314">
        <v>90</v>
      </c>
      <c r="B314">
        <v>120.14</v>
      </c>
      <c r="C314" t="s">
        <v>324</v>
      </c>
      <c r="D314">
        <v>0</v>
      </c>
      <c r="E314">
        <v>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1</v>
      </c>
      <c r="S314">
        <v>1</v>
      </c>
      <c r="T314">
        <v>0</v>
      </c>
      <c r="U314">
        <v>1</v>
      </c>
    </row>
    <row r="315" spans="1:21" x14ac:dyDescent="0.2">
      <c r="A315">
        <v>90</v>
      </c>
      <c r="B315" t="s">
        <v>139</v>
      </c>
      <c r="C315" t="s">
        <v>325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2">
      <c r="A316">
        <v>90</v>
      </c>
      <c r="B316">
        <v>120.17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2">
      <c r="A317">
        <v>90</v>
      </c>
      <c r="B317">
        <v>117.17</v>
      </c>
      <c r="C317" t="s">
        <v>326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1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2">
      <c r="A318">
        <v>93</v>
      </c>
      <c r="B318" t="s">
        <v>139</v>
      </c>
      <c r="C318" t="s">
        <v>221</v>
      </c>
      <c r="D318">
        <v>0</v>
      </c>
      <c r="E318">
        <v>1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1</v>
      </c>
    </row>
    <row r="319" spans="1:21" x14ac:dyDescent="0.2">
      <c r="A319">
        <v>93</v>
      </c>
      <c r="B319">
        <v>117.17</v>
      </c>
      <c r="C319" t="s">
        <v>327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2">
      <c r="A320">
        <v>93</v>
      </c>
      <c r="B320">
        <v>120.14</v>
      </c>
      <c r="C320" t="s">
        <v>328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1</v>
      </c>
      <c r="S320">
        <v>0</v>
      </c>
      <c r="T320">
        <v>0</v>
      </c>
      <c r="U320">
        <v>0</v>
      </c>
    </row>
    <row r="321" spans="1:21" x14ac:dyDescent="0.2">
      <c r="A321">
        <v>93</v>
      </c>
      <c r="B321">
        <v>120.17</v>
      </c>
      <c r="C321" t="s">
        <v>329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1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2">
      <c r="A322">
        <v>94</v>
      </c>
      <c r="B322">
        <v>120.14</v>
      </c>
      <c r="C322" t="s">
        <v>319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2">
      <c r="A323">
        <v>94</v>
      </c>
      <c r="B323" t="s">
        <v>139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2">
      <c r="A324">
        <v>94</v>
      </c>
      <c r="B324">
        <v>120.17</v>
      </c>
      <c r="C324" t="s">
        <v>330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2">
      <c r="A325">
        <v>94</v>
      </c>
      <c r="B325">
        <v>117.17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2">
      <c r="A326">
        <v>95</v>
      </c>
      <c r="B326">
        <v>120.17</v>
      </c>
      <c r="C326" t="s">
        <v>187</v>
      </c>
      <c r="D326">
        <v>0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2">
      <c r="A327">
        <v>95</v>
      </c>
      <c r="B327">
        <v>120.14</v>
      </c>
      <c r="C327" t="s">
        <v>331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1</v>
      </c>
      <c r="S327">
        <v>0</v>
      </c>
      <c r="T327">
        <v>0</v>
      </c>
      <c r="U327">
        <v>0</v>
      </c>
    </row>
    <row r="328" spans="1:21" x14ac:dyDescent="0.2">
      <c r="A328">
        <v>95</v>
      </c>
      <c r="B328">
        <v>117.17</v>
      </c>
      <c r="C328" t="s">
        <v>332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2">
      <c r="A329">
        <v>95</v>
      </c>
      <c r="B329" t="s">
        <v>139</v>
      </c>
      <c r="C329" t="s">
        <v>333</v>
      </c>
      <c r="D329">
        <v>0</v>
      </c>
      <c r="E329">
        <v>0</v>
      </c>
      <c r="F329">
        <v>1</v>
      </c>
      <c r="G329">
        <v>0</v>
      </c>
      <c r="H329">
        <v>1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2">
      <c r="A330">
        <v>96</v>
      </c>
      <c r="B330">
        <v>117.17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2">
      <c r="A331">
        <v>96</v>
      </c>
      <c r="B331">
        <v>120.17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2">
      <c r="A332">
        <v>96</v>
      </c>
      <c r="B332" t="s">
        <v>139</v>
      </c>
      <c r="C332" t="s">
        <v>334</v>
      </c>
      <c r="D332">
        <v>0</v>
      </c>
      <c r="E332">
        <v>0</v>
      </c>
      <c r="F332">
        <v>1</v>
      </c>
      <c r="G332">
        <v>0</v>
      </c>
      <c r="H332">
        <v>0</v>
      </c>
      <c r="I332">
        <v>1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2">
      <c r="A333">
        <v>96</v>
      </c>
      <c r="B333">
        <v>120.14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2">
      <c r="A334">
        <v>97</v>
      </c>
      <c r="B334" t="s">
        <v>139</v>
      </c>
      <c r="C334" t="s">
        <v>335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2">
      <c r="A335">
        <v>97</v>
      </c>
      <c r="B335">
        <v>117.17</v>
      </c>
      <c r="C335" t="s">
        <v>164</v>
      </c>
      <c r="D335">
        <v>0</v>
      </c>
      <c r="E335">
        <v>0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2">
      <c r="A336">
        <v>97</v>
      </c>
      <c r="B336">
        <v>120.14</v>
      </c>
      <c r="C336" t="s">
        <v>164</v>
      </c>
      <c r="D336">
        <v>0</v>
      </c>
      <c r="E336">
        <v>0</v>
      </c>
      <c r="F336">
        <v>1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2">
      <c r="A337">
        <v>97</v>
      </c>
      <c r="B337">
        <v>120.17</v>
      </c>
      <c r="C337" t="s">
        <v>164</v>
      </c>
      <c r="D337">
        <v>0</v>
      </c>
      <c r="E337">
        <v>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2">
      <c r="A338">
        <v>98</v>
      </c>
      <c r="B338">
        <v>120.14</v>
      </c>
      <c r="C338" t="s">
        <v>336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2">
      <c r="A339">
        <v>98</v>
      </c>
      <c r="B339" t="s">
        <v>139</v>
      </c>
      <c r="C339" t="s">
        <v>337</v>
      </c>
      <c r="D339">
        <v>1</v>
      </c>
      <c r="E339">
        <v>1</v>
      </c>
      <c r="F339">
        <v>1</v>
      </c>
      <c r="G339">
        <v>0</v>
      </c>
      <c r="H339">
        <v>0</v>
      </c>
      <c r="I339">
        <v>1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1</v>
      </c>
    </row>
    <row r="340" spans="1:21" x14ac:dyDescent="0.2">
      <c r="A340">
        <v>98</v>
      </c>
      <c r="B340">
        <v>120.17</v>
      </c>
      <c r="C340" t="s">
        <v>338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0</v>
      </c>
      <c r="L340">
        <v>0</v>
      </c>
      <c r="M340">
        <v>0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1</v>
      </c>
    </row>
    <row r="341" spans="1:21" x14ac:dyDescent="0.2">
      <c r="A341">
        <v>98</v>
      </c>
      <c r="B341">
        <v>117.17</v>
      </c>
      <c r="C341" t="s">
        <v>339</v>
      </c>
      <c r="D341">
        <v>0</v>
      </c>
      <c r="E341">
        <v>1</v>
      </c>
      <c r="F341">
        <v>0</v>
      </c>
      <c r="G341">
        <v>1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1</v>
      </c>
    </row>
    <row r="342" spans="1:21" x14ac:dyDescent="0.2">
      <c r="A342">
        <v>99</v>
      </c>
      <c r="B342">
        <v>120.17</v>
      </c>
      <c r="C342" t="s">
        <v>150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1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2">
      <c r="A343">
        <v>99</v>
      </c>
      <c r="B343">
        <v>120.14</v>
      </c>
      <c r="C343" t="s">
        <v>177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2">
      <c r="A344">
        <v>99</v>
      </c>
      <c r="B344">
        <v>117.17</v>
      </c>
      <c r="C344" t="s">
        <v>177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2">
      <c r="A345">
        <v>99</v>
      </c>
      <c r="B345" t="s">
        <v>139</v>
      </c>
      <c r="C345" t="s">
        <v>316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1</v>
      </c>
      <c r="J345">
        <v>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2">
      <c r="A346">
        <v>100</v>
      </c>
      <c r="B346">
        <v>117.17</v>
      </c>
      <c r="C346" t="s">
        <v>340</v>
      </c>
      <c r="D346">
        <v>1</v>
      </c>
      <c r="E346">
        <v>0</v>
      </c>
      <c r="F346">
        <v>0</v>
      </c>
      <c r="G346">
        <v>0</v>
      </c>
      <c r="H346">
        <v>1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2">
      <c r="A347">
        <v>100</v>
      </c>
      <c r="B347">
        <v>120.17</v>
      </c>
      <c r="C347" t="s">
        <v>341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2">
      <c r="A348">
        <v>100</v>
      </c>
      <c r="B348" t="s">
        <v>139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2">
      <c r="A349">
        <v>100</v>
      </c>
      <c r="B349">
        <v>120.14</v>
      </c>
      <c r="C349" t="s">
        <v>342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</v>
      </c>
    </row>
    <row r="350" spans="1:21" x14ac:dyDescent="0.2">
      <c r="A350">
        <v>101</v>
      </c>
      <c r="B350" t="s">
        <v>139</v>
      </c>
      <c r="C350" t="s">
        <v>343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2">
      <c r="A351">
        <v>101</v>
      </c>
      <c r="B351">
        <v>117.17</v>
      </c>
      <c r="C351" t="s">
        <v>149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2">
      <c r="A352">
        <v>101</v>
      </c>
      <c r="B352">
        <v>120.14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2">
      <c r="A353">
        <v>101</v>
      </c>
      <c r="B353">
        <v>120.17</v>
      </c>
      <c r="C353" t="s">
        <v>344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2">
      <c r="A354">
        <v>102</v>
      </c>
      <c r="B354">
        <v>120.14</v>
      </c>
      <c r="C354" t="s">
        <v>345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2">
      <c r="A355">
        <v>102</v>
      </c>
      <c r="B355" t="s">
        <v>139</v>
      </c>
      <c r="C355" t="s">
        <v>158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1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2">
      <c r="A356">
        <v>102</v>
      </c>
      <c r="B356">
        <v>120.17</v>
      </c>
      <c r="C356" t="s">
        <v>268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</v>
      </c>
    </row>
    <row r="357" spans="1:21" x14ac:dyDescent="0.2">
      <c r="A357">
        <v>102</v>
      </c>
      <c r="B357">
        <v>117.17</v>
      </c>
      <c r="C357" t="s">
        <v>193</v>
      </c>
      <c r="D357">
        <v>0</v>
      </c>
      <c r="E357">
        <v>0</v>
      </c>
      <c r="F357">
        <v>0</v>
      </c>
      <c r="G357">
        <v>0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2">
      <c r="A358">
        <v>103</v>
      </c>
      <c r="B358">
        <v>120.17</v>
      </c>
      <c r="C358" t="s">
        <v>164</v>
      </c>
      <c r="D358">
        <v>0</v>
      </c>
      <c r="E358">
        <v>0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2">
      <c r="A359">
        <v>103</v>
      </c>
      <c r="B359">
        <v>120.14</v>
      </c>
      <c r="C359" t="s">
        <v>346</v>
      </c>
      <c r="D359">
        <v>0</v>
      </c>
      <c r="E359">
        <v>0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2">
      <c r="A360">
        <v>103</v>
      </c>
      <c r="B360">
        <v>117.17</v>
      </c>
      <c r="C360" t="s">
        <v>224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1</v>
      </c>
      <c r="S360">
        <v>0</v>
      </c>
      <c r="T360">
        <v>0</v>
      </c>
      <c r="U360">
        <v>0</v>
      </c>
    </row>
    <row r="361" spans="1:21" x14ac:dyDescent="0.2">
      <c r="A361">
        <v>103</v>
      </c>
      <c r="B361" t="s">
        <v>139</v>
      </c>
      <c r="C361" t="s">
        <v>347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1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2">
      <c r="A362">
        <v>104</v>
      </c>
      <c r="B362">
        <v>117.17</v>
      </c>
      <c r="C362" t="s">
        <v>348</v>
      </c>
      <c r="D362">
        <v>0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1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1</v>
      </c>
    </row>
    <row r="363" spans="1:21" x14ac:dyDescent="0.2">
      <c r="A363">
        <v>104</v>
      </c>
      <c r="B363">
        <v>120.17</v>
      </c>
      <c r="C363" t="s">
        <v>349</v>
      </c>
      <c r="D363">
        <v>0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1</v>
      </c>
    </row>
    <row r="364" spans="1:21" x14ac:dyDescent="0.2">
      <c r="A364">
        <v>104</v>
      </c>
      <c r="B364" t="s">
        <v>139</v>
      </c>
      <c r="C364" t="s">
        <v>350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</row>
    <row r="365" spans="1:21" x14ac:dyDescent="0.2">
      <c r="A365">
        <v>104</v>
      </c>
      <c r="B365">
        <v>120.14</v>
      </c>
      <c r="C365" t="s">
        <v>351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2">
      <c r="A366">
        <v>105</v>
      </c>
      <c r="B366" t="s">
        <v>139</v>
      </c>
      <c r="C366" t="s">
        <v>352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1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2">
      <c r="A367">
        <v>105</v>
      </c>
      <c r="B367">
        <v>117.17</v>
      </c>
      <c r="C367" t="s">
        <v>174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</v>
      </c>
      <c r="R367">
        <v>0</v>
      </c>
      <c r="S367">
        <v>0</v>
      </c>
      <c r="T367">
        <v>0</v>
      </c>
      <c r="U367">
        <v>0</v>
      </c>
    </row>
    <row r="368" spans="1:21" x14ac:dyDescent="0.2">
      <c r="A368">
        <v>105</v>
      </c>
      <c r="B368">
        <v>120.14</v>
      </c>
      <c r="C368" t="s">
        <v>293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2">
      <c r="A369">
        <v>105</v>
      </c>
      <c r="B369">
        <v>120.17</v>
      </c>
      <c r="C369" t="s">
        <v>234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2">
      <c r="A370">
        <v>106</v>
      </c>
      <c r="B370">
        <v>120.14</v>
      </c>
      <c r="C370" t="s">
        <v>264</v>
      </c>
      <c r="D370">
        <v>0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1</v>
      </c>
    </row>
    <row r="371" spans="1:21" x14ac:dyDescent="0.2">
      <c r="A371">
        <v>106</v>
      </c>
      <c r="B371" t="s">
        <v>139</v>
      </c>
      <c r="C371" t="s">
        <v>164</v>
      </c>
      <c r="D371">
        <v>0</v>
      </c>
      <c r="E371">
        <v>0</v>
      </c>
      <c r="F371">
        <v>1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2">
      <c r="A372">
        <v>106</v>
      </c>
      <c r="B372">
        <v>120.17</v>
      </c>
      <c r="C372" t="s">
        <v>353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2">
      <c r="A373">
        <v>106</v>
      </c>
      <c r="B373">
        <v>117.17</v>
      </c>
      <c r="C373" t="s">
        <v>193</v>
      </c>
      <c r="D373">
        <v>0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2">
      <c r="A374">
        <v>107</v>
      </c>
      <c r="B374">
        <v>120.17</v>
      </c>
      <c r="C374" t="s">
        <v>164</v>
      </c>
      <c r="D374">
        <v>0</v>
      </c>
      <c r="E374">
        <v>0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2">
      <c r="A375">
        <v>107</v>
      </c>
      <c r="B375">
        <v>120.14</v>
      </c>
      <c r="C375" t="s">
        <v>164</v>
      </c>
      <c r="D375">
        <v>0</v>
      </c>
      <c r="E375">
        <v>0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2">
      <c r="A376">
        <v>107</v>
      </c>
      <c r="B376">
        <v>117.17</v>
      </c>
      <c r="C376" t="s">
        <v>164</v>
      </c>
      <c r="D376">
        <v>0</v>
      </c>
      <c r="E376">
        <v>0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2">
      <c r="A377">
        <v>107</v>
      </c>
      <c r="B377" t="s">
        <v>139</v>
      </c>
      <c r="C377" t="s">
        <v>164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2">
      <c r="A378">
        <v>108</v>
      </c>
      <c r="B378">
        <v>117.17</v>
      </c>
      <c r="C378" t="s">
        <v>354</v>
      </c>
      <c r="D378">
        <v>0</v>
      </c>
      <c r="E378">
        <v>0</v>
      </c>
      <c r="F378">
        <v>1</v>
      </c>
      <c r="G378">
        <v>0</v>
      </c>
      <c r="H378">
        <v>0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2">
      <c r="A379">
        <v>108</v>
      </c>
      <c r="B379">
        <v>120.17</v>
      </c>
      <c r="C379" t="s">
        <v>193</v>
      </c>
      <c r="D379">
        <v>0</v>
      </c>
      <c r="E379">
        <v>0</v>
      </c>
      <c r="F379">
        <v>0</v>
      </c>
      <c r="G379">
        <v>0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2">
      <c r="A380">
        <v>108</v>
      </c>
      <c r="B380" t="s">
        <v>139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2">
      <c r="A381">
        <v>108</v>
      </c>
      <c r="B381">
        <v>120.14</v>
      </c>
      <c r="C381" t="s">
        <v>319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2">
      <c r="A382">
        <v>109</v>
      </c>
      <c r="B382" t="s">
        <v>139</v>
      </c>
      <c r="C382" t="s">
        <v>355</v>
      </c>
      <c r="D382">
        <v>0</v>
      </c>
      <c r="E382">
        <v>0</v>
      </c>
      <c r="F382">
        <v>1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2">
      <c r="A383">
        <v>109</v>
      </c>
      <c r="B383">
        <v>117.17</v>
      </c>
      <c r="C383" t="s">
        <v>356</v>
      </c>
      <c r="D383">
        <v>0</v>
      </c>
      <c r="E383">
        <v>0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2">
      <c r="A384">
        <v>109</v>
      </c>
      <c r="B384">
        <v>120.14</v>
      </c>
      <c r="C384" t="s">
        <v>357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2">
      <c r="A385">
        <v>109</v>
      </c>
      <c r="B385">
        <v>120.17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2">
      <c r="A386">
        <v>110</v>
      </c>
      <c r="B386">
        <v>120.14</v>
      </c>
      <c r="C386" t="s">
        <v>164</v>
      </c>
      <c r="D386">
        <v>0</v>
      </c>
      <c r="E386">
        <v>0</v>
      </c>
      <c r="F386">
        <v>1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2">
      <c r="A387">
        <v>110</v>
      </c>
      <c r="B387" t="s">
        <v>139</v>
      </c>
      <c r="C387" t="s">
        <v>164</v>
      </c>
      <c r="D387">
        <v>0</v>
      </c>
      <c r="E387">
        <v>0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2">
      <c r="A388">
        <v>110</v>
      </c>
      <c r="B388">
        <v>120.17</v>
      </c>
      <c r="C388" t="s">
        <v>148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2">
      <c r="A389">
        <v>110</v>
      </c>
      <c r="B389">
        <v>117.17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2">
      <c r="A390">
        <v>111</v>
      </c>
      <c r="B390">
        <v>120.17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2">
      <c r="A391">
        <v>111</v>
      </c>
      <c r="B391">
        <v>120.14</v>
      </c>
      <c r="C391" t="s">
        <v>293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2">
      <c r="A392">
        <v>111</v>
      </c>
      <c r="B392">
        <v>117.17</v>
      </c>
      <c r="C392" t="s">
        <v>358</v>
      </c>
      <c r="D392">
        <v>0</v>
      </c>
      <c r="E392">
        <v>0</v>
      </c>
      <c r="F392">
        <v>0</v>
      </c>
      <c r="G392">
        <v>0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2">
      <c r="A393">
        <v>111</v>
      </c>
      <c r="B393" t="s">
        <v>139</v>
      </c>
      <c r="C393" t="s">
        <v>293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1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2">
      <c r="A394">
        <v>112</v>
      </c>
      <c r="B394">
        <v>117.17</v>
      </c>
      <c r="C394" t="s">
        <v>359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>
        <v>1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2">
      <c r="A395">
        <v>112</v>
      </c>
      <c r="B395">
        <v>120.17</v>
      </c>
      <c r="C395" t="s">
        <v>360</v>
      </c>
      <c r="D395">
        <v>0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2">
      <c r="A396">
        <v>112</v>
      </c>
      <c r="B396" t="s">
        <v>139</v>
      </c>
      <c r="C396" t="s">
        <v>361</v>
      </c>
      <c r="D396">
        <v>0</v>
      </c>
      <c r="E396">
        <v>0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2">
      <c r="A397">
        <v>112</v>
      </c>
      <c r="B397">
        <v>120.14</v>
      </c>
      <c r="C397" t="s">
        <v>362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>
        <v>1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x14ac:dyDescent="0.2">
      <c r="A398">
        <v>113</v>
      </c>
      <c r="B398" t="s">
        <v>139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2">
      <c r="A399">
        <v>113</v>
      </c>
      <c r="B399">
        <v>117.17</v>
      </c>
      <c r="C399" t="s">
        <v>335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2">
      <c r="A400">
        <v>113</v>
      </c>
      <c r="B400">
        <v>120.14</v>
      </c>
      <c r="C400" t="s">
        <v>363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</v>
      </c>
      <c r="R400">
        <v>0</v>
      </c>
      <c r="S400">
        <v>0</v>
      </c>
      <c r="T400">
        <v>0</v>
      </c>
      <c r="U400">
        <v>0</v>
      </c>
    </row>
    <row r="401" spans="1:21" x14ac:dyDescent="0.2">
      <c r="A401">
        <v>113</v>
      </c>
      <c r="B401">
        <v>120.17</v>
      </c>
      <c r="C401" t="s">
        <v>364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2">
      <c r="A402">
        <v>114</v>
      </c>
      <c r="B402">
        <v>120.14</v>
      </c>
      <c r="C402" t="s">
        <v>365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1</v>
      </c>
    </row>
    <row r="403" spans="1:21" x14ac:dyDescent="0.2">
      <c r="A403">
        <v>114</v>
      </c>
      <c r="B403" t="s">
        <v>139</v>
      </c>
      <c r="C403" t="s">
        <v>366</v>
      </c>
      <c r="D403">
        <v>0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1</v>
      </c>
    </row>
    <row r="404" spans="1:21" x14ac:dyDescent="0.2">
      <c r="A404">
        <v>114</v>
      </c>
      <c r="B404">
        <v>120.17</v>
      </c>
      <c r="C404" t="s">
        <v>367</v>
      </c>
      <c r="D404">
        <v>1</v>
      </c>
      <c r="E404">
        <v>1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</row>
    <row r="405" spans="1:21" x14ac:dyDescent="0.2">
      <c r="A405">
        <v>114</v>
      </c>
      <c r="B405">
        <v>117.17</v>
      </c>
      <c r="C405" t="s">
        <v>368</v>
      </c>
      <c r="D405">
        <v>1</v>
      </c>
      <c r="E405">
        <v>1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0</v>
      </c>
    </row>
    <row r="406" spans="1:21" x14ac:dyDescent="0.2">
      <c r="A406">
        <v>115</v>
      </c>
      <c r="B406">
        <v>120.17</v>
      </c>
      <c r="C406" t="s">
        <v>369</v>
      </c>
      <c r="D406">
        <v>0</v>
      </c>
      <c r="E406">
        <v>1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1</v>
      </c>
    </row>
    <row r="407" spans="1:21" x14ac:dyDescent="0.2">
      <c r="A407">
        <v>115</v>
      </c>
      <c r="B407">
        <v>120.14</v>
      </c>
      <c r="C407" t="s">
        <v>370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1</v>
      </c>
    </row>
    <row r="408" spans="1:21" x14ac:dyDescent="0.2">
      <c r="A408">
        <v>115</v>
      </c>
      <c r="B408">
        <v>117.17</v>
      </c>
      <c r="C408" t="s">
        <v>371</v>
      </c>
      <c r="D408">
        <v>0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0</v>
      </c>
      <c r="T408">
        <v>0</v>
      </c>
      <c r="U408">
        <v>0</v>
      </c>
    </row>
    <row r="409" spans="1:21" x14ac:dyDescent="0.2">
      <c r="A409">
        <v>115</v>
      </c>
      <c r="B409" t="s">
        <v>139</v>
      </c>
      <c r="C409" t="s">
        <v>372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1</v>
      </c>
    </row>
    <row r="410" spans="1:21" x14ac:dyDescent="0.2">
      <c r="A410">
        <v>116</v>
      </c>
      <c r="B410">
        <v>117.17</v>
      </c>
      <c r="C410" t="s">
        <v>373</v>
      </c>
      <c r="D410">
        <v>1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2">
      <c r="A411">
        <v>116</v>
      </c>
      <c r="B411">
        <v>120.17</v>
      </c>
      <c r="C411" t="s">
        <v>374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2">
      <c r="A412">
        <v>116</v>
      </c>
      <c r="B412" t="s">
        <v>139</v>
      </c>
      <c r="C412" t="s">
        <v>375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1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x14ac:dyDescent="0.2">
      <c r="A413">
        <v>116</v>
      </c>
      <c r="B413">
        <v>120.14</v>
      </c>
      <c r="C413" t="s">
        <v>376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2">
      <c r="A414">
        <v>117</v>
      </c>
      <c r="B414" t="s">
        <v>139</v>
      </c>
      <c r="C414" t="s">
        <v>377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1</v>
      </c>
      <c r="T414">
        <v>0</v>
      </c>
      <c r="U414">
        <v>0</v>
      </c>
    </row>
    <row r="415" spans="1:21" x14ac:dyDescent="0.2">
      <c r="A415">
        <v>117</v>
      </c>
      <c r="B415">
        <v>117.17</v>
      </c>
      <c r="C415" t="s">
        <v>378</v>
      </c>
      <c r="D415">
        <v>0</v>
      </c>
      <c r="E415">
        <v>0</v>
      </c>
      <c r="F415">
        <v>0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</row>
    <row r="416" spans="1:21" x14ac:dyDescent="0.2">
      <c r="A416">
        <v>117</v>
      </c>
      <c r="B416">
        <v>120.14</v>
      </c>
      <c r="C416" t="s">
        <v>379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2">
      <c r="A417">
        <v>117</v>
      </c>
      <c r="B417">
        <v>120.17</v>
      </c>
      <c r="C417" t="s">
        <v>380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2">
      <c r="A418">
        <v>118</v>
      </c>
      <c r="B418">
        <v>120.14</v>
      </c>
      <c r="C418" t="s">
        <v>164</v>
      </c>
      <c r="D418">
        <v>0</v>
      </c>
      <c r="E418">
        <v>0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2">
      <c r="A419">
        <v>118</v>
      </c>
      <c r="B419" t="s">
        <v>139</v>
      </c>
      <c r="C419" t="s">
        <v>319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2">
      <c r="A420">
        <v>118</v>
      </c>
      <c r="B420">
        <v>120.17</v>
      </c>
      <c r="C420" t="s">
        <v>164</v>
      </c>
      <c r="D420">
        <v>0</v>
      </c>
      <c r="E420">
        <v>0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x14ac:dyDescent="0.2">
      <c r="A421">
        <v>118</v>
      </c>
      <c r="B421">
        <v>117.17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2">
      <c r="A422">
        <v>119</v>
      </c>
      <c r="B422">
        <v>120.17</v>
      </c>
      <c r="C422" t="s">
        <v>381</v>
      </c>
      <c r="D422">
        <v>0</v>
      </c>
      <c r="E422">
        <v>0</v>
      </c>
      <c r="F422">
        <v>1</v>
      </c>
      <c r="G422">
        <v>0</v>
      </c>
      <c r="H422">
        <v>1</v>
      </c>
      <c r="I422">
        <v>0</v>
      </c>
      <c r="J422">
        <v>0</v>
      </c>
      <c r="K422">
        <v>1</v>
      </c>
      <c r="L422">
        <v>1</v>
      </c>
      <c r="M422">
        <v>0</v>
      </c>
      <c r="N422">
        <v>0</v>
      </c>
      <c r="O422">
        <v>1</v>
      </c>
      <c r="P422">
        <v>1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2">
      <c r="A423">
        <v>119</v>
      </c>
      <c r="B423">
        <v>120.14</v>
      </c>
      <c r="C423" t="s">
        <v>382</v>
      </c>
      <c r="D423">
        <v>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x14ac:dyDescent="0.2">
      <c r="A424">
        <v>119</v>
      </c>
      <c r="B424">
        <v>117.17</v>
      </c>
      <c r="C424" t="s">
        <v>383</v>
      </c>
      <c r="D424">
        <v>0</v>
      </c>
      <c r="E424">
        <v>0</v>
      </c>
      <c r="F424">
        <v>0</v>
      </c>
      <c r="G424">
        <v>1</v>
      </c>
      <c r="H424">
        <v>1</v>
      </c>
      <c r="I424">
        <v>0</v>
      </c>
      <c r="J424">
        <v>0</v>
      </c>
      <c r="K424">
        <v>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2">
      <c r="A425">
        <v>119</v>
      </c>
      <c r="B425" t="s">
        <v>139</v>
      </c>
      <c r="C425" t="s">
        <v>384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1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2">
      <c r="A426">
        <v>120</v>
      </c>
      <c r="B426">
        <v>117.17</v>
      </c>
      <c r="C426" t="s">
        <v>385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</v>
      </c>
      <c r="R426">
        <v>0</v>
      </c>
      <c r="S426">
        <v>1</v>
      </c>
      <c r="T426">
        <v>0</v>
      </c>
      <c r="U426">
        <v>0</v>
      </c>
    </row>
    <row r="427" spans="1:21" x14ac:dyDescent="0.2">
      <c r="A427">
        <v>120</v>
      </c>
      <c r="B427">
        <v>120.17</v>
      </c>
      <c r="C427" t="s">
        <v>158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2">
      <c r="A428">
        <v>120</v>
      </c>
      <c r="B428" t="s">
        <v>139</v>
      </c>
      <c r="C428" t="s">
        <v>386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>
        <v>1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2">
      <c r="A429">
        <v>120</v>
      </c>
      <c r="B429">
        <v>120.14</v>
      </c>
      <c r="C429" t="s">
        <v>387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1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2">
      <c r="A430">
        <v>121</v>
      </c>
      <c r="B430" t="s">
        <v>139</v>
      </c>
      <c r="C430" t="s">
        <v>190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1</v>
      </c>
    </row>
    <row r="431" spans="1:21" x14ac:dyDescent="0.2">
      <c r="A431">
        <v>121</v>
      </c>
      <c r="B431">
        <v>117.17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2">
      <c r="A432">
        <v>121</v>
      </c>
      <c r="B432">
        <v>120.14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2">
      <c r="A433">
        <v>121</v>
      </c>
      <c r="B433">
        <v>120.17</v>
      </c>
      <c r="C433" t="s">
        <v>190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1</v>
      </c>
    </row>
    <row r="434" spans="1:21" x14ac:dyDescent="0.2">
      <c r="A434">
        <v>122</v>
      </c>
      <c r="B434">
        <v>120.14</v>
      </c>
      <c r="C434" t="s">
        <v>388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1</v>
      </c>
    </row>
    <row r="435" spans="1:21" x14ac:dyDescent="0.2">
      <c r="A435">
        <v>122</v>
      </c>
      <c r="B435" t="s">
        <v>139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2">
      <c r="A436">
        <v>122</v>
      </c>
      <c r="B436">
        <v>120.17</v>
      </c>
      <c r="C436" t="s">
        <v>190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1</v>
      </c>
    </row>
    <row r="437" spans="1:21" x14ac:dyDescent="0.2">
      <c r="A437">
        <v>122</v>
      </c>
      <c r="B437">
        <v>117.17</v>
      </c>
      <c r="C437" t="s">
        <v>389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1</v>
      </c>
      <c r="T437">
        <v>0</v>
      </c>
      <c r="U437">
        <v>1</v>
      </c>
    </row>
    <row r="438" spans="1:21" x14ac:dyDescent="0.2">
      <c r="A438">
        <v>123</v>
      </c>
      <c r="B438">
        <v>120.17</v>
      </c>
      <c r="C438" t="s">
        <v>390</v>
      </c>
      <c r="D438">
        <v>0</v>
      </c>
      <c r="E438">
        <v>0</v>
      </c>
      <c r="F438">
        <v>1</v>
      </c>
      <c r="G438">
        <v>0</v>
      </c>
      <c r="H438">
        <v>1</v>
      </c>
      <c r="I438">
        <v>0</v>
      </c>
      <c r="J438">
        <v>0</v>
      </c>
      <c r="K438">
        <v>1</v>
      </c>
      <c r="L438">
        <v>0</v>
      </c>
      <c r="M438">
        <v>1</v>
      </c>
      <c r="N438">
        <v>0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2">
      <c r="A439">
        <v>123</v>
      </c>
      <c r="B439">
        <v>120.14</v>
      </c>
      <c r="C439" t="s">
        <v>391</v>
      </c>
      <c r="D439">
        <v>1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1</v>
      </c>
    </row>
    <row r="440" spans="1:21" x14ac:dyDescent="0.2">
      <c r="A440">
        <v>123</v>
      </c>
      <c r="B440">
        <v>117.17</v>
      </c>
      <c r="C440" t="s">
        <v>392</v>
      </c>
      <c r="D440">
        <v>0</v>
      </c>
      <c r="E440">
        <v>0</v>
      </c>
      <c r="F440">
        <v>1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0</v>
      </c>
      <c r="U440">
        <v>0</v>
      </c>
    </row>
    <row r="441" spans="1:21" x14ac:dyDescent="0.2">
      <c r="A441">
        <v>123</v>
      </c>
      <c r="B441" t="s">
        <v>139</v>
      </c>
      <c r="C441" t="s">
        <v>393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>
        <v>1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2">
      <c r="A442">
        <v>124</v>
      </c>
      <c r="B442">
        <v>117.17</v>
      </c>
      <c r="C442" t="s">
        <v>164</v>
      </c>
      <c r="D442">
        <v>0</v>
      </c>
      <c r="E442">
        <v>0</v>
      </c>
      <c r="F442">
        <v>1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2">
      <c r="A443">
        <v>124</v>
      </c>
      <c r="B443">
        <v>120.17</v>
      </c>
      <c r="C443" t="s">
        <v>163</v>
      </c>
      <c r="D443">
        <v>0</v>
      </c>
      <c r="E443">
        <v>0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x14ac:dyDescent="0.2">
      <c r="A444">
        <v>124</v>
      </c>
      <c r="B444" t="s">
        <v>139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2">
      <c r="A445">
        <v>124</v>
      </c>
      <c r="B445">
        <v>120.14</v>
      </c>
      <c r="C445" t="s">
        <v>164</v>
      </c>
      <c r="D445">
        <v>0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2">
      <c r="A446">
        <v>125</v>
      </c>
      <c r="B446" t="s">
        <v>139</v>
      </c>
      <c r="C446" t="s">
        <v>394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1</v>
      </c>
    </row>
    <row r="447" spans="1:21" x14ac:dyDescent="0.2">
      <c r="A447">
        <v>125</v>
      </c>
      <c r="B447">
        <v>117.17</v>
      </c>
      <c r="C447" t="s">
        <v>395</v>
      </c>
      <c r="D447">
        <v>0</v>
      </c>
      <c r="E447">
        <v>1</v>
      </c>
      <c r="F447">
        <v>0</v>
      </c>
      <c r="G447">
        <v>0</v>
      </c>
      <c r="H447">
        <v>1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</v>
      </c>
    </row>
    <row r="448" spans="1:21" x14ac:dyDescent="0.2">
      <c r="A448">
        <v>125</v>
      </c>
      <c r="B448">
        <v>120.14</v>
      </c>
      <c r="C448" t="s">
        <v>396</v>
      </c>
      <c r="D448">
        <v>0</v>
      </c>
      <c r="E448">
        <v>1</v>
      </c>
      <c r="F448">
        <v>1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1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</v>
      </c>
    </row>
    <row r="449" spans="1:21" x14ac:dyDescent="0.2">
      <c r="A449">
        <v>125</v>
      </c>
      <c r="B449">
        <v>120.17</v>
      </c>
      <c r="C449" t="s">
        <v>397</v>
      </c>
      <c r="D449">
        <v>0</v>
      </c>
      <c r="E449">
        <v>0</v>
      </c>
      <c r="F449">
        <v>0</v>
      </c>
      <c r="G449">
        <v>0</v>
      </c>
      <c r="H449">
        <v>1</v>
      </c>
      <c r="I449">
        <v>1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1</v>
      </c>
      <c r="P449">
        <v>1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2">
      <c r="A450">
        <v>126</v>
      </c>
      <c r="B450">
        <v>120.14</v>
      </c>
      <c r="C450" t="s">
        <v>398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x14ac:dyDescent="0.2">
      <c r="A451">
        <v>126</v>
      </c>
      <c r="B451" t="s">
        <v>139</v>
      </c>
      <c r="C451" t="s">
        <v>399</v>
      </c>
      <c r="D451">
        <v>0</v>
      </c>
      <c r="E451">
        <v>0</v>
      </c>
      <c r="F451">
        <v>0</v>
      </c>
      <c r="G451">
        <v>0</v>
      </c>
      <c r="H451">
        <v>1</v>
      </c>
      <c r="I451">
        <v>1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2">
      <c r="A452">
        <v>126</v>
      </c>
      <c r="B452">
        <v>120.17</v>
      </c>
      <c r="C452" t="s">
        <v>400</v>
      </c>
      <c r="D452">
        <v>0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</v>
      </c>
    </row>
    <row r="453" spans="1:21" x14ac:dyDescent="0.2">
      <c r="A453">
        <v>126</v>
      </c>
      <c r="B453">
        <v>117.17</v>
      </c>
      <c r="C453" t="s">
        <v>401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x14ac:dyDescent="0.2">
      <c r="A454">
        <v>127</v>
      </c>
      <c r="B454">
        <v>120.17</v>
      </c>
      <c r="C454" t="s">
        <v>402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</row>
    <row r="455" spans="1:21" x14ac:dyDescent="0.2">
      <c r="A455">
        <v>127</v>
      </c>
      <c r="B455">
        <v>120.14</v>
      </c>
      <c r="C455" t="s">
        <v>403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1</v>
      </c>
      <c r="U455">
        <v>0</v>
      </c>
    </row>
    <row r="456" spans="1:21" x14ac:dyDescent="0.2">
      <c r="A456">
        <v>127</v>
      </c>
      <c r="B456">
        <v>117.17</v>
      </c>
      <c r="C456" t="s">
        <v>404</v>
      </c>
      <c r="D456">
        <v>1</v>
      </c>
      <c r="E456">
        <v>0</v>
      </c>
      <c r="F456">
        <v>0</v>
      </c>
      <c r="G456">
        <v>0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x14ac:dyDescent="0.2">
      <c r="A457">
        <v>127</v>
      </c>
      <c r="B457" t="s">
        <v>139</v>
      </c>
      <c r="C457" t="s">
        <v>405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</row>
    <row r="458" spans="1:21" x14ac:dyDescent="0.2">
      <c r="A458">
        <v>128</v>
      </c>
      <c r="B458">
        <v>117.17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</row>
    <row r="459" spans="1:21" x14ac:dyDescent="0.2">
      <c r="A459">
        <v>128</v>
      </c>
      <c r="B459">
        <v>120.17</v>
      </c>
      <c r="C459" t="s">
        <v>164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x14ac:dyDescent="0.2">
      <c r="A460">
        <v>128</v>
      </c>
      <c r="B460" t="s">
        <v>139</v>
      </c>
      <c r="C460" t="s">
        <v>148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1</v>
      </c>
      <c r="P460">
        <v>1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x14ac:dyDescent="0.2">
      <c r="A461">
        <v>128</v>
      </c>
      <c r="B461">
        <v>120.14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</row>
    <row r="462" spans="1:21" x14ac:dyDescent="0.2">
      <c r="A462">
        <v>129</v>
      </c>
      <c r="B462" t="s">
        <v>139</v>
      </c>
      <c r="C462" t="s">
        <v>164</v>
      </c>
      <c r="D462">
        <v>0</v>
      </c>
      <c r="E462">
        <v>0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2">
      <c r="A463">
        <v>129</v>
      </c>
      <c r="B463">
        <v>117.17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x14ac:dyDescent="0.2">
      <c r="A464">
        <v>129</v>
      </c>
      <c r="B464">
        <v>120.14</v>
      </c>
      <c r="C464" t="s">
        <v>406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</row>
    <row r="465" spans="1:21" x14ac:dyDescent="0.2">
      <c r="A465">
        <v>129</v>
      </c>
      <c r="B465">
        <v>120.17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</row>
    <row r="466" spans="1:21" x14ac:dyDescent="0.2">
      <c r="A466">
        <v>130</v>
      </c>
      <c r="B466">
        <v>120.14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</row>
    <row r="467" spans="1:21" x14ac:dyDescent="0.2">
      <c r="A467">
        <v>130</v>
      </c>
      <c r="B467" t="s">
        <v>139</v>
      </c>
      <c r="C467" t="s">
        <v>164</v>
      </c>
      <c r="D467">
        <v>0</v>
      </c>
      <c r="E467">
        <v>0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2">
      <c r="A468">
        <v>130</v>
      </c>
      <c r="B468">
        <v>120.17</v>
      </c>
      <c r="C468" t="s">
        <v>149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2">
      <c r="A469">
        <v>130</v>
      </c>
      <c r="B469">
        <v>117.17</v>
      </c>
      <c r="C469" t="s">
        <v>265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2">
      <c r="A470">
        <v>131</v>
      </c>
      <c r="B470">
        <v>120.17</v>
      </c>
      <c r="C470" t="s">
        <v>407</v>
      </c>
      <c r="D470">
        <v>0</v>
      </c>
      <c r="E470">
        <v>0</v>
      </c>
      <c r="F470">
        <v>1</v>
      </c>
      <c r="G470">
        <v>0</v>
      </c>
      <c r="H470">
        <v>0</v>
      </c>
      <c r="I470">
        <v>1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2">
      <c r="A471">
        <v>131</v>
      </c>
      <c r="B471">
        <v>120.14</v>
      </c>
      <c r="C471" t="s">
        <v>164</v>
      </c>
      <c r="D471">
        <v>0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2">
      <c r="A472">
        <v>131</v>
      </c>
      <c r="B472">
        <v>117.17</v>
      </c>
      <c r="C472" t="s">
        <v>295</v>
      </c>
      <c r="D472">
        <v>0</v>
      </c>
      <c r="E472">
        <v>0</v>
      </c>
      <c r="F472">
        <v>0</v>
      </c>
      <c r="G472">
        <v>0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2">
      <c r="A473">
        <v>131</v>
      </c>
      <c r="B473" t="s">
        <v>139</v>
      </c>
      <c r="C473" t="s">
        <v>158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1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2">
      <c r="A474">
        <v>132</v>
      </c>
      <c r="B474">
        <v>117.17</v>
      </c>
      <c r="C474" t="s">
        <v>164</v>
      </c>
      <c r="D474">
        <v>0</v>
      </c>
      <c r="E474">
        <v>0</v>
      </c>
      <c r="F474">
        <v>1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2">
      <c r="A475">
        <v>132</v>
      </c>
      <c r="B475">
        <v>120.17</v>
      </c>
      <c r="C475" t="s">
        <v>164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2">
      <c r="A476">
        <v>132</v>
      </c>
      <c r="B476" t="s">
        <v>139</v>
      </c>
      <c r="C476" t="s">
        <v>164</v>
      </c>
      <c r="D476">
        <v>0</v>
      </c>
      <c r="E476">
        <v>0</v>
      </c>
      <c r="F476">
        <v>1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2">
      <c r="A477">
        <v>132</v>
      </c>
      <c r="B477">
        <v>120.14</v>
      </c>
      <c r="C477" t="s">
        <v>164</v>
      </c>
      <c r="D477">
        <v>0</v>
      </c>
      <c r="E477">
        <v>0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2">
      <c r="A478">
        <v>133</v>
      </c>
      <c r="B478" t="s">
        <v>139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2">
      <c r="A479">
        <v>133</v>
      </c>
      <c r="B479">
        <v>117.17</v>
      </c>
      <c r="C479" t="s">
        <v>158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2">
      <c r="A480">
        <v>133</v>
      </c>
      <c r="B480">
        <v>120.14</v>
      </c>
      <c r="C480" t="s">
        <v>408</v>
      </c>
      <c r="D480">
        <v>0</v>
      </c>
      <c r="E480">
        <v>0</v>
      </c>
      <c r="F480">
        <v>1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>
        <v>1</v>
      </c>
      <c r="Q480">
        <v>0</v>
      </c>
      <c r="R480">
        <v>0</v>
      </c>
      <c r="S480">
        <v>1</v>
      </c>
      <c r="T480">
        <v>0</v>
      </c>
      <c r="U480">
        <v>0</v>
      </c>
    </row>
    <row r="481" spans="1:21" x14ac:dyDescent="0.2">
      <c r="A481">
        <v>133</v>
      </c>
      <c r="B481">
        <v>120.17</v>
      </c>
      <c r="C481" t="s">
        <v>372</v>
      </c>
      <c r="D481">
        <v>0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1</v>
      </c>
    </row>
    <row r="482" spans="1:21" x14ac:dyDescent="0.2">
      <c r="A482">
        <v>134</v>
      </c>
      <c r="B482">
        <v>120.14</v>
      </c>
      <c r="C482" t="s">
        <v>164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2">
      <c r="A483">
        <v>134</v>
      </c>
      <c r="B483" t="s">
        <v>139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2">
      <c r="A484">
        <v>134</v>
      </c>
      <c r="B484">
        <v>120.17</v>
      </c>
      <c r="C484" t="s">
        <v>409</v>
      </c>
      <c r="D484">
        <v>0</v>
      </c>
      <c r="E484">
        <v>1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1</v>
      </c>
    </row>
    <row r="485" spans="1:21" x14ac:dyDescent="0.2">
      <c r="A485">
        <v>134</v>
      </c>
      <c r="B485">
        <v>117.17</v>
      </c>
      <c r="C485" t="s">
        <v>149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2">
      <c r="A486">
        <v>135</v>
      </c>
      <c r="B486">
        <v>120.17</v>
      </c>
      <c r="C486" t="s">
        <v>164</v>
      </c>
      <c r="D486">
        <v>0</v>
      </c>
      <c r="E486">
        <v>0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2">
      <c r="A487">
        <v>135</v>
      </c>
      <c r="B487">
        <v>120.14</v>
      </c>
      <c r="C487" t="s">
        <v>148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>
        <v>1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2">
      <c r="A488">
        <v>135</v>
      </c>
      <c r="B488">
        <v>117.17</v>
      </c>
      <c r="C488" t="s">
        <v>224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0</v>
      </c>
      <c r="T488">
        <v>0</v>
      </c>
      <c r="U488">
        <v>0</v>
      </c>
    </row>
    <row r="489" spans="1:21" x14ac:dyDescent="0.2">
      <c r="A489">
        <v>135</v>
      </c>
      <c r="B489" t="s">
        <v>139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2">
      <c r="A490">
        <v>136</v>
      </c>
      <c r="B490">
        <v>117.17</v>
      </c>
      <c r="C490" t="s">
        <v>410</v>
      </c>
      <c r="D490">
        <v>0</v>
      </c>
      <c r="E490">
        <v>0</v>
      </c>
      <c r="F490">
        <v>1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1</v>
      </c>
      <c r="T490">
        <v>0</v>
      </c>
      <c r="U490">
        <v>0</v>
      </c>
    </row>
    <row r="491" spans="1:21" x14ac:dyDescent="0.2">
      <c r="A491">
        <v>136</v>
      </c>
      <c r="B491">
        <v>120.17</v>
      </c>
      <c r="C491" t="s">
        <v>411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1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x14ac:dyDescent="0.2">
      <c r="A492">
        <v>136</v>
      </c>
      <c r="B492" t="s">
        <v>139</v>
      </c>
      <c r="C492" t="s">
        <v>224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1</v>
      </c>
      <c r="S492">
        <v>0</v>
      </c>
      <c r="T492">
        <v>0</v>
      </c>
      <c r="U492">
        <v>0</v>
      </c>
    </row>
    <row r="493" spans="1:21" x14ac:dyDescent="0.2">
      <c r="A493">
        <v>136</v>
      </c>
      <c r="B493">
        <v>120.14</v>
      </c>
      <c r="C493" t="s">
        <v>412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1</v>
      </c>
      <c r="T493">
        <v>0</v>
      </c>
      <c r="U493">
        <v>0</v>
      </c>
    </row>
    <row r="494" spans="1:21" x14ac:dyDescent="0.2">
      <c r="A494">
        <v>137</v>
      </c>
      <c r="B494" t="s">
        <v>139</v>
      </c>
      <c r="C494" t="s">
        <v>413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1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1</v>
      </c>
      <c r="T494">
        <v>0</v>
      </c>
      <c r="U494">
        <v>0</v>
      </c>
    </row>
    <row r="495" spans="1:21" x14ac:dyDescent="0.2">
      <c r="A495">
        <v>137</v>
      </c>
      <c r="B495">
        <v>117.17</v>
      </c>
      <c r="C495" t="s">
        <v>346</v>
      </c>
      <c r="D495">
        <v>0</v>
      </c>
      <c r="E495">
        <v>0</v>
      </c>
      <c r="F495">
        <v>1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2">
      <c r="A496">
        <v>137</v>
      </c>
      <c r="B496">
        <v>120.14</v>
      </c>
      <c r="C496" t="s">
        <v>414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2">
      <c r="A497">
        <v>137</v>
      </c>
      <c r="B497">
        <v>120.17</v>
      </c>
      <c r="C497" t="s">
        <v>174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</v>
      </c>
      <c r="R497">
        <v>0</v>
      </c>
      <c r="S497">
        <v>0</v>
      </c>
      <c r="T497">
        <v>0</v>
      </c>
      <c r="U497">
        <v>0</v>
      </c>
    </row>
    <row r="498" spans="1:21" x14ac:dyDescent="0.2">
      <c r="A498">
        <v>138</v>
      </c>
      <c r="B498">
        <v>120.14</v>
      </c>
      <c r="C498" t="s">
        <v>415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1</v>
      </c>
      <c r="R498">
        <v>0</v>
      </c>
      <c r="S498">
        <v>0</v>
      </c>
      <c r="T498">
        <v>0</v>
      </c>
      <c r="U498">
        <v>0</v>
      </c>
    </row>
    <row r="499" spans="1:21" x14ac:dyDescent="0.2">
      <c r="A499">
        <v>138</v>
      </c>
      <c r="B499" t="s">
        <v>139</v>
      </c>
      <c r="C499" t="s">
        <v>416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x14ac:dyDescent="0.2">
      <c r="A500">
        <v>138</v>
      </c>
      <c r="B500">
        <v>120.17</v>
      </c>
      <c r="C500" t="s">
        <v>417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2">
      <c r="A501">
        <v>138</v>
      </c>
      <c r="B501">
        <v>117.17</v>
      </c>
      <c r="C501" t="s">
        <v>418</v>
      </c>
      <c r="D501">
        <v>1</v>
      </c>
      <c r="E501">
        <v>0</v>
      </c>
      <c r="F501">
        <v>0</v>
      </c>
      <c r="G501">
        <v>0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0</v>
      </c>
    </row>
    <row r="502" spans="1:21" x14ac:dyDescent="0.2">
      <c r="A502">
        <v>139</v>
      </c>
      <c r="B502">
        <v>120.17</v>
      </c>
      <c r="C502" t="s">
        <v>335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x14ac:dyDescent="0.2">
      <c r="A503">
        <v>139</v>
      </c>
      <c r="B503">
        <v>120.14</v>
      </c>
      <c r="C503" t="s">
        <v>419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2">
      <c r="A504">
        <v>139</v>
      </c>
      <c r="B504">
        <v>117.17</v>
      </c>
      <c r="C504" t="s">
        <v>420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1</v>
      </c>
      <c r="O504">
        <v>1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x14ac:dyDescent="0.2">
      <c r="A505">
        <v>139</v>
      </c>
      <c r="B505" t="s">
        <v>139</v>
      </c>
      <c r="C505" t="s">
        <v>421</v>
      </c>
      <c r="D505">
        <v>0</v>
      </c>
      <c r="E505">
        <v>0</v>
      </c>
      <c r="F505">
        <v>0</v>
      </c>
      <c r="G505">
        <v>0</v>
      </c>
      <c r="H505">
        <v>1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2">
      <c r="A506">
        <v>140</v>
      </c>
      <c r="B506">
        <v>117.17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x14ac:dyDescent="0.2">
      <c r="A507">
        <v>140</v>
      </c>
      <c r="B507">
        <v>120.17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x14ac:dyDescent="0.2">
      <c r="A508">
        <v>140</v>
      </c>
      <c r="B508" t="s">
        <v>139</v>
      </c>
      <c r="C508" t="s">
        <v>422</v>
      </c>
      <c r="D508">
        <v>0</v>
      </c>
      <c r="E508">
        <v>0</v>
      </c>
      <c r="F508">
        <v>0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2">
      <c r="A509">
        <v>140</v>
      </c>
      <c r="B509">
        <v>120.14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2">
      <c r="A510">
        <v>141</v>
      </c>
      <c r="B510" t="s">
        <v>139</v>
      </c>
      <c r="C510" t="s">
        <v>423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1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</v>
      </c>
    </row>
    <row r="511" spans="1:21" x14ac:dyDescent="0.2">
      <c r="A511">
        <v>141</v>
      </c>
      <c r="B511">
        <v>117.17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</v>
      </c>
      <c r="K511">
        <v>1</v>
      </c>
      <c r="L511">
        <v>1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2">
      <c r="A512">
        <v>141</v>
      </c>
      <c r="B512">
        <v>120.14</v>
      </c>
      <c r="C512" t="s">
        <v>425</v>
      </c>
      <c r="D512">
        <v>0</v>
      </c>
      <c r="E512">
        <v>0</v>
      </c>
      <c r="F512">
        <v>1</v>
      </c>
      <c r="G512">
        <v>0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</row>
    <row r="513" spans="1:21" x14ac:dyDescent="0.2">
      <c r="A513">
        <v>141</v>
      </c>
      <c r="B513">
        <v>120.17</v>
      </c>
      <c r="C513" t="s">
        <v>164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</row>
    <row r="514" spans="1:21" x14ac:dyDescent="0.2">
      <c r="A514">
        <v>142</v>
      </c>
      <c r="B514">
        <v>120.14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2">
      <c r="A515">
        <v>142</v>
      </c>
      <c r="B515" t="s">
        <v>139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2">
      <c r="A516">
        <v>142</v>
      </c>
      <c r="B516">
        <v>120.17</v>
      </c>
      <c r="C516" t="s">
        <v>193</v>
      </c>
      <c r="D516">
        <v>0</v>
      </c>
      <c r="E516">
        <v>0</v>
      </c>
      <c r="F516">
        <v>0</v>
      </c>
      <c r="G516">
        <v>0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2">
      <c r="A517">
        <v>142</v>
      </c>
      <c r="B517">
        <v>117.17</v>
      </c>
      <c r="C517" t="s">
        <v>170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2">
      <c r="A518">
        <v>143</v>
      </c>
      <c r="B518">
        <v>120.17</v>
      </c>
      <c r="C518" t="s">
        <v>164</v>
      </c>
      <c r="D518">
        <v>0</v>
      </c>
      <c r="E518">
        <v>0</v>
      </c>
      <c r="F518">
        <v>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2">
      <c r="A519">
        <v>143</v>
      </c>
      <c r="B519">
        <v>120.14</v>
      </c>
      <c r="C519" t="s">
        <v>158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1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</row>
    <row r="520" spans="1:21" x14ac:dyDescent="0.2">
      <c r="A520">
        <v>143</v>
      </c>
      <c r="B520">
        <v>117.17</v>
      </c>
      <c r="C520" t="s">
        <v>193</v>
      </c>
      <c r="D520">
        <v>0</v>
      </c>
      <c r="E520">
        <v>0</v>
      </c>
      <c r="F520">
        <v>0</v>
      </c>
      <c r="G520">
        <v>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</row>
    <row r="521" spans="1:21" x14ac:dyDescent="0.2">
      <c r="A521">
        <v>143</v>
      </c>
      <c r="B521" t="s">
        <v>139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2">
      <c r="A522">
        <v>144</v>
      </c>
      <c r="B522">
        <v>117.17</v>
      </c>
      <c r="C522" t="s">
        <v>335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2">
      <c r="A523">
        <v>144</v>
      </c>
      <c r="B523">
        <v>120.17</v>
      </c>
      <c r="C523" t="s">
        <v>308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</row>
    <row r="524" spans="1:21" x14ac:dyDescent="0.2">
      <c r="A524">
        <v>144</v>
      </c>
      <c r="B524" t="s">
        <v>139</v>
      </c>
      <c r="C524" t="s">
        <v>308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2">
      <c r="A525">
        <v>144</v>
      </c>
      <c r="B525">
        <v>120.14</v>
      </c>
      <c r="C525" t="s">
        <v>206</v>
      </c>
      <c r="D525">
        <v>0</v>
      </c>
      <c r="E525">
        <v>0</v>
      </c>
      <c r="F525">
        <v>1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2">
      <c r="A526">
        <v>145</v>
      </c>
      <c r="B526" t="s">
        <v>139</v>
      </c>
      <c r="C526" t="s">
        <v>426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2">
      <c r="A527">
        <v>145</v>
      </c>
      <c r="B527">
        <v>117.17</v>
      </c>
      <c r="C527" t="s">
        <v>205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2">
      <c r="A528">
        <v>145</v>
      </c>
      <c r="B528">
        <v>120.14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2">
      <c r="A529">
        <v>145</v>
      </c>
      <c r="B529">
        <v>120.17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2">
      <c r="A530">
        <v>146</v>
      </c>
      <c r="B530">
        <v>120.14</v>
      </c>
      <c r="C530" t="s">
        <v>427</v>
      </c>
      <c r="D530">
        <v>1</v>
      </c>
      <c r="E530">
        <v>0</v>
      </c>
      <c r="F530">
        <v>0</v>
      </c>
      <c r="G530">
        <v>0</v>
      </c>
      <c r="H530">
        <v>0</v>
      </c>
      <c r="I530">
        <v>1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2">
      <c r="A531">
        <v>146</v>
      </c>
      <c r="B531" t="s">
        <v>139</v>
      </c>
      <c r="C531" t="s">
        <v>428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1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1</v>
      </c>
      <c r="T531">
        <v>0</v>
      </c>
      <c r="U531">
        <v>0</v>
      </c>
    </row>
    <row r="532" spans="1:21" x14ac:dyDescent="0.2">
      <c r="A532">
        <v>146</v>
      </c>
      <c r="B532">
        <v>120.17</v>
      </c>
      <c r="C532" t="s">
        <v>429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1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2">
      <c r="A533">
        <v>146</v>
      </c>
      <c r="B533">
        <v>117.17</v>
      </c>
      <c r="C533" t="s">
        <v>430</v>
      </c>
      <c r="D533">
        <v>0</v>
      </c>
      <c r="E533">
        <v>0</v>
      </c>
      <c r="F533">
        <v>0</v>
      </c>
      <c r="G533">
        <v>0</v>
      </c>
      <c r="H533">
        <v>1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2">
      <c r="A534">
        <v>147</v>
      </c>
      <c r="B534">
        <v>120.17</v>
      </c>
      <c r="C534" t="s">
        <v>164</v>
      </c>
      <c r="D534">
        <v>0</v>
      </c>
      <c r="E534">
        <v>0</v>
      </c>
      <c r="F534">
        <v>1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2">
      <c r="A535">
        <v>147</v>
      </c>
      <c r="B535">
        <v>120.14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2">
      <c r="A536">
        <v>147</v>
      </c>
      <c r="B536">
        <v>117.17</v>
      </c>
      <c r="C536" t="s">
        <v>164</v>
      </c>
      <c r="D536">
        <v>0</v>
      </c>
      <c r="E536">
        <v>0</v>
      </c>
      <c r="F536">
        <v>1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2">
      <c r="A537">
        <v>147</v>
      </c>
      <c r="B537" t="s">
        <v>139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2">
      <c r="A538">
        <v>148</v>
      </c>
      <c r="B538">
        <v>117.17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2">
      <c r="A539">
        <v>148</v>
      </c>
      <c r="B539">
        <v>120.17</v>
      </c>
      <c r="C539" t="s">
        <v>164</v>
      </c>
      <c r="D539">
        <v>0</v>
      </c>
      <c r="E539">
        <v>0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2">
      <c r="A540">
        <v>148</v>
      </c>
      <c r="B540" t="s">
        <v>139</v>
      </c>
      <c r="C540" t="s">
        <v>150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</v>
      </c>
      <c r="L540">
        <v>1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2">
      <c r="A541">
        <v>148</v>
      </c>
      <c r="B541">
        <v>120.14</v>
      </c>
      <c r="C541" t="s">
        <v>224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1</v>
      </c>
      <c r="S541">
        <v>0</v>
      </c>
      <c r="T541">
        <v>0</v>
      </c>
      <c r="U541">
        <v>0</v>
      </c>
    </row>
    <row r="542" spans="1:21" x14ac:dyDescent="0.2">
      <c r="A542">
        <v>158</v>
      </c>
      <c r="B542">
        <v>120.14</v>
      </c>
      <c r="C542" t="s">
        <v>164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2">
      <c r="A543">
        <v>158</v>
      </c>
      <c r="B543" t="s">
        <v>139</v>
      </c>
      <c r="C543" t="s">
        <v>164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</row>
    <row r="544" spans="1:21" x14ac:dyDescent="0.2">
      <c r="A544">
        <v>158</v>
      </c>
      <c r="B544">
        <v>120.17</v>
      </c>
      <c r="C544" t="s">
        <v>204</v>
      </c>
      <c r="D544">
        <v>0</v>
      </c>
      <c r="E544">
        <v>0</v>
      </c>
      <c r="F544">
        <v>1</v>
      </c>
      <c r="G544">
        <v>0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2">
      <c r="A545">
        <v>158</v>
      </c>
      <c r="B545">
        <v>117.17</v>
      </c>
      <c r="C545" t="s">
        <v>431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2">
      <c r="A546">
        <v>159</v>
      </c>
      <c r="B546">
        <v>120.17</v>
      </c>
      <c r="C546" t="s">
        <v>164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2">
      <c r="A547">
        <v>159</v>
      </c>
      <c r="B547">
        <v>120.14</v>
      </c>
      <c r="C547" t="s">
        <v>164</v>
      </c>
      <c r="D547">
        <v>0</v>
      </c>
      <c r="E547">
        <v>0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2">
      <c r="A548">
        <v>159</v>
      </c>
      <c r="B548">
        <v>117.17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2">
      <c r="A549">
        <v>159</v>
      </c>
      <c r="B549" t="s">
        <v>139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2">
      <c r="A550">
        <v>160</v>
      </c>
      <c r="B550">
        <v>117.17</v>
      </c>
      <c r="C550" t="s">
        <v>432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2">
      <c r="A551">
        <v>160</v>
      </c>
      <c r="B551">
        <v>120.17</v>
      </c>
      <c r="C551" t="s">
        <v>433</v>
      </c>
      <c r="D551">
        <v>0</v>
      </c>
      <c r="E551">
        <v>1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1</v>
      </c>
      <c r="L551">
        <v>0</v>
      </c>
      <c r="M551">
        <v>0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1</v>
      </c>
    </row>
    <row r="552" spans="1:21" x14ac:dyDescent="0.2">
      <c r="A552">
        <v>160</v>
      </c>
      <c r="B552" t="s">
        <v>139</v>
      </c>
      <c r="C552" t="s">
        <v>434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1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0</v>
      </c>
    </row>
    <row r="553" spans="1:21" x14ac:dyDescent="0.2">
      <c r="A553">
        <v>160</v>
      </c>
      <c r="B553">
        <v>120.14</v>
      </c>
      <c r="C553" t="s">
        <v>268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1</v>
      </c>
    </row>
    <row r="554" spans="1:21" x14ac:dyDescent="0.2">
      <c r="T554">
        <f t="shared" ref="T554" si="0">MIN(T2:T553)</f>
        <v>0</v>
      </c>
    </row>
    <row r="555" spans="1:21" x14ac:dyDescent="0.2">
      <c r="T555">
        <f t="shared" ref="T555" si="1">MAX(T2:T553)</f>
        <v>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F46E5-E770-B242-81FD-5561CC2D08F0}">
  <sheetPr codeName="XLSTAT_20210228_143815_1_HID">
    <tabColor rgb="FF007800"/>
  </sheetPr>
  <dimension ref="B2:D21"/>
  <sheetViews>
    <sheetView workbookViewId="0"/>
  </sheetViews>
  <sheetFormatPr baseColWidth="10" defaultRowHeight="16" x14ac:dyDescent="0.2"/>
  <sheetData>
    <row r="2" spans="2:4" x14ac:dyDescent="0.2">
      <c r="B2">
        <v>0.28675521202822113</v>
      </c>
      <c r="C2">
        <v>6.5958643458423144E-2</v>
      </c>
      <c r="D2">
        <v>4.1518200799451649E-2</v>
      </c>
    </row>
    <row r="3" spans="2:4" x14ac:dyDescent="0.2">
      <c r="B3">
        <v>-8.4797265836001404E-2</v>
      </c>
      <c r="C3">
        <v>-0.20839453279644524</v>
      </c>
      <c r="D3">
        <v>6.4268607890105994E-2</v>
      </c>
    </row>
    <row r="4" spans="2:4" x14ac:dyDescent="0.2">
      <c r="B4">
        <v>-0.21717437870507919</v>
      </c>
      <c r="C4">
        <v>0.18568383120939139</v>
      </c>
      <c r="D4">
        <v>3.7970391293198749E-2</v>
      </c>
    </row>
    <row r="5" spans="2:4" x14ac:dyDescent="0.2">
      <c r="B5">
        <v>-6.6777881708071233E-3</v>
      </c>
      <c r="C5">
        <v>-2.9242561219980739E-2</v>
      </c>
      <c r="D5">
        <v>-0.14131794918329704</v>
      </c>
    </row>
    <row r="6" spans="2:4" x14ac:dyDescent="0.2">
      <c r="B6">
        <v>8.1618115412600903E-2</v>
      </c>
      <c r="C6">
        <v>-0.1805014075475749</v>
      </c>
      <c r="D6">
        <v>-7.7489149834441926E-2</v>
      </c>
    </row>
    <row r="7" spans="2:4" x14ac:dyDescent="0.2">
      <c r="B7">
        <v>-0.24388647054536725</v>
      </c>
      <c r="C7">
        <v>-4.2088294420260221E-2</v>
      </c>
      <c r="D7">
        <v>6.7320722303085889E-2</v>
      </c>
    </row>
    <row r="8" spans="2:4" x14ac:dyDescent="0.2">
      <c r="B8">
        <v>-0.11406822854305047</v>
      </c>
      <c r="C8">
        <v>1.7430898038026176E-2</v>
      </c>
      <c r="D8">
        <v>-5.6126760314520151E-2</v>
      </c>
    </row>
    <row r="9" spans="2:4" x14ac:dyDescent="0.2">
      <c r="B9">
        <v>0.15680239761997769</v>
      </c>
      <c r="C9">
        <v>0.27483243217095438</v>
      </c>
      <c r="D9">
        <v>0.16607234788053601</v>
      </c>
    </row>
    <row r="10" spans="2:4" x14ac:dyDescent="0.2">
      <c r="B10">
        <v>0.40887156817455261</v>
      </c>
      <c r="C10">
        <v>0.31183741439812523</v>
      </c>
      <c r="D10">
        <v>3.3981002618193507E-2</v>
      </c>
    </row>
    <row r="11" spans="2:4" x14ac:dyDescent="0.2">
      <c r="B11">
        <v>9.9533257843355025E-2</v>
      </c>
      <c r="C11">
        <v>-0.16214393605710475</v>
      </c>
      <c r="D11">
        <v>-3.0166908069312527E-2</v>
      </c>
    </row>
    <row r="12" spans="2:4" x14ac:dyDescent="0.2">
      <c r="B12">
        <v>-4.8024735700288208E-2</v>
      </c>
      <c r="C12">
        <v>6.0408178675683405E-2</v>
      </c>
      <c r="D12">
        <v>0.12668598752562996</v>
      </c>
    </row>
    <row r="13" spans="2:4" x14ac:dyDescent="0.2">
      <c r="B13">
        <v>-9.1537458757671233E-2</v>
      </c>
      <c r="C13">
        <v>-1.2180728907132803E-2</v>
      </c>
      <c r="D13">
        <v>3.3013308431681675E-2</v>
      </c>
    </row>
    <row r="14" spans="2:4" x14ac:dyDescent="0.2">
      <c r="B14">
        <v>7.0708579223397877E-2</v>
      </c>
      <c r="C14">
        <v>-0.15236632653023172</v>
      </c>
      <c r="D14">
        <v>-1.2083639436097643E-2</v>
      </c>
    </row>
    <row r="15" spans="2:4" x14ac:dyDescent="0.2">
      <c r="B15">
        <v>4.2588846825739914E-2</v>
      </c>
      <c r="C15">
        <v>-0.1449772485913853</v>
      </c>
      <c r="D15">
        <v>0.1547366683254828</v>
      </c>
    </row>
    <row r="16" spans="2:4" x14ac:dyDescent="0.2">
      <c r="B16">
        <v>-0.2758067705058394</v>
      </c>
      <c r="C16">
        <v>0.32315366358686587</v>
      </c>
      <c r="D16">
        <v>-0.19129815026579913</v>
      </c>
    </row>
    <row r="17" spans="2:4" x14ac:dyDescent="0.2">
      <c r="B17">
        <v>-6.8659814990523052E-2</v>
      </c>
      <c r="C17">
        <v>1.6533807527908281E-2</v>
      </c>
      <c r="D17">
        <v>1.6266450797651776E-2</v>
      </c>
    </row>
    <row r="18" spans="2:4" x14ac:dyDescent="0.2">
      <c r="B18">
        <v>-6.8097377245595281E-2</v>
      </c>
      <c r="C18">
        <v>5.9341664411397453E-2</v>
      </c>
      <c r="D18">
        <v>-3.46013699332278E-2</v>
      </c>
    </row>
    <row r="19" spans="2:4" x14ac:dyDescent="0.2">
      <c r="B19">
        <v>0.24481663590403888</v>
      </c>
      <c r="C19">
        <v>7.0604048720550719E-2</v>
      </c>
      <c r="D19">
        <v>-0.12980208043347649</v>
      </c>
    </row>
    <row r="20" spans="2:4" x14ac:dyDescent="0.2">
      <c r="B20">
        <v>3.8335110894277082E-2</v>
      </c>
      <c r="C20">
        <v>-0.24896992749648716</v>
      </c>
      <c r="D20">
        <v>-4.3845615784631975E-2</v>
      </c>
    </row>
    <row r="21" spans="2:4" x14ac:dyDescent="0.2">
      <c r="B21">
        <v>0.55671671530480249</v>
      </c>
      <c r="C21">
        <v>-9.7776599040862666E-2</v>
      </c>
      <c r="D21">
        <v>-8.6837515614926045E-2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82FF1-16A9-1845-80E3-48C1F2582C75}">
  <sheetPr codeName="XLSTAT_20201111_150415_1">
    <tabColor rgb="FF007800"/>
  </sheetPr>
  <dimension ref="B1:T368"/>
  <sheetViews>
    <sheetView topLeftCell="A190" zoomScaleNormal="100" workbookViewId="0">
      <selection activeCell="R217" sqref="B217:R221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618</v>
      </c>
    </row>
    <row r="2" spans="2:3" x14ac:dyDescent="0.2">
      <c r="B2" t="s">
        <v>613</v>
      </c>
    </row>
    <row r="3" spans="2:3" x14ac:dyDescent="0.2">
      <c r="B3" t="s">
        <v>614</v>
      </c>
    </row>
    <row r="4" spans="2:3" x14ac:dyDescent="0.2">
      <c r="B4" t="s">
        <v>615</v>
      </c>
    </row>
    <row r="5" spans="2:3" x14ac:dyDescent="0.2">
      <c r="B5" t="s">
        <v>438</v>
      </c>
    </row>
    <row r="6" spans="2:3" x14ac:dyDescent="0.2">
      <c r="B6" t="s">
        <v>439</v>
      </c>
    </row>
    <row r="7" spans="2:3" x14ac:dyDescent="0.2">
      <c r="B7" t="s">
        <v>440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5" t="s">
        <v>443</v>
      </c>
      <c r="C15" s="6" t="s">
        <v>444</v>
      </c>
    </row>
    <row r="16" spans="2:3" x14ac:dyDescent="0.2">
      <c r="B16" s="7" t="s">
        <v>23</v>
      </c>
      <c r="C16" s="9">
        <v>4.4805442195777756E-3</v>
      </c>
    </row>
    <row r="17" spans="2:3" x14ac:dyDescent="0.2">
      <c r="B17" s="44" t="s">
        <v>134</v>
      </c>
      <c r="C17" s="45">
        <v>2.7034335667891263E-2</v>
      </c>
    </row>
    <row r="18" spans="2:3" x14ac:dyDescent="0.2">
      <c r="B18" s="4" t="s">
        <v>51</v>
      </c>
      <c r="C18" s="10">
        <v>7.8641102710318322E-2</v>
      </c>
    </row>
    <row r="19" spans="2:3" x14ac:dyDescent="0.2">
      <c r="B19" s="4" t="s">
        <v>24</v>
      </c>
      <c r="C19" s="10">
        <v>8.9153052597634619E-2</v>
      </c>
    </row>
    <row r="20" spans="2:3" x14ac:dyDescent="0.2">
      <c r="B20" s="4" t="s">
        <v>190</v>
      </c>
      <c r="C20" s="10">
        <v>0.16338238408777372</v>
      </c>
    </row>
    <row r="21" spans="2:3" x14ac:dyDescent="0.2">
      <c r="B21" s="4" t="s">
        <v>10</v>
      </c>
      <c r="C21" s="10">
        <v>0.29283432871764581</v>
      </c>
    </row>
    <row r="22" spans="2:3" x14ac:dyDescent="0.2">
      <c r="B22" s="4" t="s">
        <v>9</v>
      </c>
      <c r="C22" s="10">
        <v>0.47055399812647303</v>
      </c>
    </row>
    <row r="23" spans="2:3" x14ac:dyDescent="0.2">
      <c r="B23" s="4" t="s">
        <v>84</v>
      </c>
      <c r="C23" s="10">
        <v>0.47381157339472013</v>
      </c>
    </row>
    <row r="24" spans="2:3" x14ac:dyDescent="0.2">
      <c r="B24" s="4" t="s">
        <v>44</v>
      </c>
      <c r="C24" s="10">
        <v>0.51292863261125543</v>
      </c>
    </row>
    <row r="25" spans="2:3" x14ac:dyDescent="0.2">
      <c r="B25" s="44" t="s">
        <v>5</v>
      </c>
      <c r="C25" s="45">
        <v>0.58803932363618872</v>
      </c>
    </row>
    <row r="26" spans="2:3" x14ac:dyDescent="0.2">
      <c r="B26" s="4" t="s">
        <v>37</v>
      </c>
      <c r="C26" s="10">
        <v>0.62765117258129988</v>
      </c>
    </row>
    <row r="27" spans="2:3" x14ac:dyDescent="0.2">
      <c r="B27" s="4" t="s">
        <v>99</v>
      </c>
      <c r="C27" s="10">
        <v>0.63220620713718689</v>
      </c>
    </row>
    <row r="28" spans="2:3" x14ac:dyDescent="0.2">
      <c r="B28" s="4" t="s">
        <v>26</v>
      </c>
      <c r="C28" s="10">
        <v>0.74396233640413001</v>
      </c>
    </row>
    <row r="29" spans="2:3" x14ac:dyDescent="0.2">
      <c r="B29" s="4" t="s">
        <v>32</v>
      </c>
      <c r="C29" s="10">
        <v>0.92409024403901574</v>
      </c>
    </row>
    <row r="30" spans="2:3" x14ac:dyDescent="0.2">
      <c r="B30" s="4" t="s">
        <v>58</v>
      </c>
      <c r="C30" s="10">
        <v>0.98039162094556642</v>
      </c>
    </row>
    <row r="31" spans="2:3" ht="17" thickBot="1" x14ac:dyDescent="0.25">
      <c r="B31" s="8" t="s">
        <v>64</v>
      </c>
      <c r="C31" s="11">
        <v>0.98574775755011901</v>
      </c>
    </row>
    <row r="34" spans="2:6" x14ac:dyDescent="0.2">
      <c r="B34" s="3" t="s">
        <v>445</v>
      </c>
    </row>
    <row r="35" spans="2:6" ht="17" thickBot="1" x14ac:dyDescent="0.25"/>
    <row r="36" spans="2:6" ht="17" x14ac:dyDescent="0.2">
      <c r="B36" s="5" t="s">
        <v>443</v>
      </c>
      <c r="C36" s="6" t="s">
        <v>463</v>
      </c>
      <c r="D36" s="6" t="s">
        <v>464</v>
      </c>
      <c r="E36" s="6" t="s">
        <v>465</v>
      </c>
      <c r="F36" s="6" t="s">
        <v>139</v>
      </c>
    </row>
    <row r="37" spans="2:6" x14ac:dyDescent="0.2">
      <c r="B37" s="7" t="s">
        <v>5</v>
      </c>
      <c r="C37" s="12" t="s">
        <v>450</v>
      </c>
      <c r="D37" s="12" t="s">
        <v>451</v>
      </c>
      <c r="E37" s="12" t="s">
        <v>452</v>
      </c>
      <c r="F37" s="12" t="s">
        <v>451</v>
      </c>
    </row>
    <row r="38" spans="2:6" x14ac:dyDescent="0.2">
      <c r="B38" s="4" t="s">
        <v>190</v>
      </c>
      <c r="C38" s="13" t="s">
        <v>564</v>
      </c>
      <c r="D38" s="13" t="s">
        <v>565</v>
      </c>
      <c r="E38" s="13" t="s">
        <v>454</v>
      </c>
      <c r="F38" s="13" t="s">
        <v>548</v>
      </c>
    </row>
    <row r="39" spans="2:6" x14ac:dyDescent="0.2">
      <c r="B39" s="4" t="s">
        <v>9</v>
      </c>
      <c r="C39" s="13" t="s">
        <v>457</v>
      </c>
      <c r="D39" s="13" t="s">
        <v>458</v>
      </c>
      <c r="E39" s="13" t="s">
        <v>459</v>
      </c>
      <c r="F39" s="13" t="s">
        <v>460</v>
      </c>
    </row>
    <row r="40" spans="2:6" x14ac:dyDescent="0.2">
      <c r="B40" s="4" t="s">
        <v>10</v>
      </c>
      <c r="C40" s="13" t="s">
        <v>453</v>
      </c>
      <c r="D40" s="13" t="s">
        <v>452</v>
      </c>
      <c r="E40" s="13" t="s">
        <v>450</v>
      </c>
      <c r="F40" s="13" t="s">
        <v>452</v>
      </c>
    </row>
    <row r="41" spans="2:6" x14ac:dyDescent="0.2">
      <c r="B41" s="4" t="s">
        <v>23</v>
      </c>
      <c r="C41" s="13" t="s">
        <v>544</v>
      </c>
      <c r="D41" s="13" t="s">
        <v>452</v>
      </c>
      <c r="E41" s="13" t="s">
        <v>545</v>
      </c>
      <c r="F41" s="13" t="s">
        <v>545</v>
      </c>
    </row>
    <row r="42" spans="2:6" x14ac:dyDescent="0.2">
      <c r="B42" s="4" t="s">
        <v>24</v>
      </c>
      <c r="C42" s="13" t="s">
        <v>546</v>
      </c>
      <c r="D42" s="13" t="s">
        <v>547</v>
      </c>
      <c r="E42" s="13" t="s">
        <v>548</v>
      </c>
      <c r="F42" s="13" t="s">
        <v>546</v>
      </c>
    </row>
    <row r="43" spans="2:6" x14ac:dyDescent="0.2">
      <c r="B43" s="4" t="s">
        <v>26</v>
      </c>
      <c r="C43" s="13" t="s">
        <v>549</v>
      </c>
      <c r="D43" s="13" t="s">
        <v>549</v>
      </c>
      <c r="E43" s="13" t="s">
        <v>550</v>
      </c>
      <c r="F43" s="13" t="s">
        <v>456</v>
      </c>
    </row>
    <row r="44" spans="2:6" x14ac:dyDescent="0.2">
      <c r="B44" s="4" t="s">
        <v>32</v>
      </c>
      <c r="C44" s="13" t="s">
        <v>563</v>
      </c>
      <c r="D44" s="13" t="s">
        <v>549</v>
      </c>
      <c r="E44" s="13" t="s">
        <v>455</v>
      </c>
      <c r="F44" s="13" t="s">
        <v>548</v>
      </c>
    </row>
    <row r="45" spans="2:6" x14ac:dyDescent="0.2">
      <c r="B45" s="4" t="s">
        <v>37</v>
      </c>
      <c r="C45" s="13" t="s">
        <v>451</v>
      </c>
      <c r="D45" s="13" t="s">
        <v>453</v>
      </c>
      <c r="E45" s="13" t="s">
        <v>461</v>
      </c>
      <c r="F45" s="13" t="s">
        <v>451</v>
      </c>
    </row>
    <row r="46" spans="2:6" x14ac:dyDescent="0.2">
      <c r="B46" s="4" t="s">
        <v>44</v>
      </c>
      <c r="C46" s="13" t="s">
        <v>564</v>
      </c>
      <c r="D46" s="13" t="s">
        <v>456</v>
      </c>
      <c r="E46" s="13" t="s">
        <v>450</v>
      </c>
      <c r="F46" s="13" t="s">
        <v>450</v>
      </c>
    </row>
    <row r="47" spans="2:6" x14ac:dyDescent="0.2">
      <c r="B47" s="4" t="s">
        <v>51</v>
      </c>
      <c r="C47" s="13" t="s">
        <v>461</v>
      </c>
      <c r="D47" s="13" t="s">
        <v>452</v>
      </c>
      <c r="E47" s="13" t="s">
        <v>456</v>
      </c>
      <c r="F47" s="13" t="s">
        <v>564</v>
      </c>
    </row>
    <row r="48" spans="2:6" x14ac:dyDescent="0.2">
      <c r="B48" s="4" t="s">
        <v>58</v>
      </c>
      <c r="C48" s="13" t="s">
        <v>565</v>
      </c>
      <c r="D48" s="13" t="s">
        <v>566</v>
      </c>
      <c r="E48" s="13" t="s">
        <v>566</v>
      </c>
      <c r="F48" s="13" t="s">
        <v>567</v>
      </c>
    </row>
    <row r="49" spans="2:6" x14ac:dyDescent="0.2">
      <c r="B49" s="4" t="s">
        <v>64</v>
      </c>
      <c r="C49" s="13" t="s">
        <v>450</v>
      </c>
      <c r="D49" s="13" t="s">
        <v>450</v>
      </c>
      <c r="E49" s="13" t="s">
        <v>451</v>
      </c>
      <c r="F49" s="13" t="s">
        <v>451</v>
      </c>
    </row>
    <row r="50" spans="2:6" x14ac:dyDescent="0.2">
      <c r="B50" s="4" t="s">
        <v>84</v>
      </c>
      <c r="C50" s="13" t="s">
        <v>451</v>
      </c>
      <c r="D50" s="13" t="s">
        <v>452</v>
      </c>
      <c r="E50" s="13" t="s">
        <v>452</v>
      </c>
      <c r="F50" s="13" t="s">
        <v>450</v>
      </c>
    </row>
    <row r="51" spans="2:6" x14ac:dyDescent="0.2">
      <c r="B51" s="4" t="s">
        <v>99</v>
      </c>
      <c r="C51" s="13" t="s">
        <v>461</v>
      </c>
      <c r="D51" s="13" t="s">
        <v>450</v>
      </c>
      <c r="E51" s="13" t="s">
        <v>446</v>
      </c>
      <c r="F51" s="13" t="s">
        <v>462</v>
      </c>
    </row>
    <row r="52" spans="2:6" ht="17" thickBot="1" x14ac:dyDescent="0.25">
      <c r="B52" s="8" t="s">
        <v>134</v>
      </c>
      <c r="C52" s="14" t="s">
        <v>568</v>
      </c>
      <c r="D52" s="14" t="s">
        <v>569</v>
      </c>
      <c r="E52" s="14" t="s">
        <v>447</v>
      </c>
      <c r="F52" s="14" t="s">
        <v>570</v>
      </c>
    </row>
    <row r="55" spans="2:6" x14ac:dyDescent="0.2">
      <c r="B55" s="3" t="s">
        <v>470</v>
      </c>
    </row>
    <row r="56" spans="2:6" ht="17" thickBot="1" x14ac:dyDescent="0.25"/>
    <row r="57" spans="2:6" x14ac:dyDescent="0.2">
      <c r="B57" s="16"/>
      <c r="C57" s="17" t="s">
        <v>463</v>
      </c>
      <c r="D57" s="17" t="s">
        <v>464</v>
      </c>
      <c r="E57" s="17" t="s">
        <v>465</v>
      </c>
      <c r="F57" s="17" t="s">
        <v>139</v>
      </c>
    </row>
    <row r="58" spans="2:6" x14ac:dyDescent="0.2">
      <c r="B58" s="18">
        <v>117.17</v>
      </c>
      <c r="C58" s="23">
        <v>0</v>
      </c>
      <c r="D58" s="20">
        <v>-7.2463768115942004E-3</v>
      </c>
      <c r="E58" s="20">
        <v>2.1739130434782612E-2</v>
      </c>
      <c r="F58" s="20">
        <v>-7.2463768115942004E-3</v>
      </c>
    </row>
    <row r="59" spans="2:6" x14ac:dyDescent="0.2">
      <c r="B59" s="15">
        <v>120.14</v>
      </c>
      <c r="C59" s="21">
        <v>7.2463768115942004E-3</v>
      </c>
      <c r="D59" s="24">
        <v>0</v>
      </c>
      <c r="E59" s="21">
        <v>2.8985507246376812E-2</v>
      </c>
      <c r="F59" s="21">
        <v>0</v>
      </c>
    </row>
    <row r="60" spans="2:6" x14ac:dyDescent="0.2">
      <c r="B60" s="15">
        <v>120.17</v>
      </c>
      <c r="C60" s="21">
        <v>-2.1739130434782612E-2</v>
      </c>
      <c r="D60" s="21">
        <v>-2.8985507246376812E-2</v>
      </c>
      <c r="E60" s="24">
        <v>0</v>
      </c>
      <c r="F60" s="21">
        <v>-2.8985507246376812E-2</v>
      </c>
    </row>
    <row r="61" spans="2:6" ht="17" thickBot="1" x14ac:dyDescent="0.25">
      <c r="B61" s="19" t="s">
        <v>139</v>
      </c>
      <c r="C61" s="22">
        <v>7.2463768115942004E-3</v>
      </c>
      <c r="D61" s="22">
        <v>0</v>
      </c>
      <c r="E61" s="22">
        <v>2.8985507246376812E-2</v>
      </c>
      <c r="F61" s="25">
        <v>0</v>
      </c>
    </row>
    <row r="62" spans="2:6" x14ac:dyDescent="0.2">
      <c r="B62" s="3" t="s">
        <v>471</v>
      </c>
    </row>
    <row r="65" spans="2:6" x14ac:dyDescent="0.2">
      <c r="B65" s="3" t="s">
        <v>616</v>
      </c>
    </row>
    <row r="66" spans="2:6" ht="17" thickBot="1" x14ac:dyDescent="0.25"/>
    <row r="67" spans="2:6" x14ac:dyDescent="0.2">
      <c r="B67" s="16"/>
      <c r="C67" s="17" t="s">
        <v>463</v>
      </c>
      <c r="D67" s="17" t="s">
        <v>464</v>
      </c>
      <c r="E67" s="17" t="s">
        <v>465</v>
      </c>
      <c r="F67" s="17" t="s">
        <v>139</v>
      </c>
    </row>
    <row r="68" spans="2:6" x14ac:dyDescent="0.2">
      <c r="B68" s="18">
        <v>117.17</v>
      </c>
      <c r="C68" s="23">
        <v>0</v>
      </c>
      <c r="D68" s="20">
        <v>-6.5217391304347824E-2</v>
      </c>
      <c r="E68" s="20">
        <v>-5.7971014492753617E-2</v>
      </c>
      <c r="F68" s="20">
        <v>-2.8985507246376815E-2</v>
      </c>
    </row>
    <row r="69" spans="2:6" x14ac:dyDescent="0.2">
      <c r="B69" s="15">
        <v>120.14</v>
      </c>
      <c r="C69" s="21">
        <v>6.5217391304347824E-2</v>
      </c>
      <c r="D69" s="24">
        <v>0</v>
      </c>
      <c r="E69" s="21">
        <v>7.2463768115942073E-3</v>
      </c>
      <c r="F69" s="21">
        <v>3.6231884057971009E-2</v>
      </c>
    </row>
    <row r="70" spans="2:6" x14ac:dyDescent="0.2">
      <c r="B70" s="15">
        <v>120.17</v>
      </c>
      <c r="C70" s="21">
        <v>5.7971014492753617E-2</v>
      </c>
      <c r="D70" s="21">
        <v>-7.2463768115942073E-3</v>
      </c>
      <c r="E70" s="24">
        <v>0</v>
      </c>
      <c r="F70" s="21">
        <v>2.8985507246376802E-2</v>
      </c>
    </row>
    <row r="71" spans="2:6" ht="17" thickBot="1" x14ac:dyDescent="0.25">
      <c r="B71" s="19" t="s">
        <v>139</v>
      </c>
      <c r="C71" s="22">
        <v>2.8985507246376815E-2</v>
      </c>
      <c r="D71" s="22">
        <v>-3.6231884057971009E-2</v>
      </c>
      <c r="E71" s="22">
        <v>-2.8985507246376802E-2</v>
      </c>
      <c r="F71" s="25">
        <v>0</v>
      </c>
    </row>
    <row r="72" spans="2:6" x14ac:dyDescent="0.2">
      <c r="B72" s="3" t="s">
        <v>617</v>
      </c>
    </row>
    <row r="75" spans="2:6" x14ac:dyDescent="0.2">
      <c r="B75" s="3" t="s">
        <v>477</v>
      </c>
    </row>
    <row r="76" spans="2:6" ht="17" thickBot="1" x14ac:dyDescent="0.25"/>
    <row r="77" spans="2:6" x14ac:dyDescent="0.2">
      <c r="B77" s="16"/>
      <c r="C77" s="17" t="s">
        <v>463</v>
      </c>
      <c r="D77" s="17" t="s">
        <v>464</v>
      </c>
      <c r="E77" s="17" t="s">
        <v>465</v>
      </c>
      <c r="F77" s="17" t="s">
        <v>139</v>
      </c>
    </row>
    <row r="78" spans="2:6" x14ac:dyDescent="0.2">
      <c r="B78" s="18">
        <v>117.17</v>
      </c>
      <c r="C78" s="23">
        <v>0</v>
      </c>
      <c r="D78" s="20">
        <v>-4.3478260869565244E-2</v>
      </c>
      <c r="E78" s="20">
        <v>-5.7971014492753659E-2</v>
      </c>
      <c r="F78" s="20">
        <v>-7.2463768115942018E-2</v>
      </c>
    </row>
    <row r="79" spans="2:6" x14ac:dyDescent="0.2">
      <c r="B79" s="15">
        <v>120.14</v>
      </c>
      <c r="C79" s="21">
        <v>4.3478260869565244E-2</v>
      </c>
      <c r="D79" s="24">
        <v>0</v>
      </c>
      <c r="E79" s="21">
        <v>-1.4492753623188415E-2</v>
      </c>
      <c r="F79" s="21">
        <v>-2.8985507246376774E-2</v>
      </c>
    </row>
    <row r="80" spans="2:6" x14ac:dyDescent="0.2">
      <c r="B80" s="15">
        <v>120.17</v>
      </c>
      <c r="C80" s="21">
        <v>5.7971014492753659E-2</v>
      </c>
      <c r="D80" s="21">
        <v>1.4492753623188415E-2</v>
      </c>
      <c r="E80" s="24">
        <v>0</v>
      </c>
      <c r="F80" s="21">
        <v>-1.4492753623188359E-2</v>
      </c>
    </row>
    <row r="81" spans="2:6" ht="17" thickBot="1" x14ac:dyDescent="0.25">
      <c r="B81" s="19" t="s">
        <v>139</v>
      </c>
      <c r="C81" s="22">
        <v>7.2463768115942018E-2</v>
      </c>
      <c r="D81" s="22">
        <v>2.8985507246376774E-2</v>
      </c>
      <c r="E81" s="22">
        <v>1.4492753623188359E-2</v>
      </c>
      <c r="F81" s="25">
        <v>0</v>
      </c>
    </row>
    <row r="82" spans="2:6" x14ac:dyDescent="0.2">
      <c r="B82" s="3" t="s">
        <v>478</v>
      </c>
    </row>
    <row r="85" spans="2:6" x14ac:dyDescent="0.2">
      <c r="B85" s="3" t="s">
        <v>479</v>
      </c>
    </row>
    <row r="86" spans="2:6" ht="17" thickBot="1" x14ac:dyDescent="0.25"/>
    <row r="87" spans="2:6" x14ac:dyDescent="0.2">
      <c r="B87" s="16"/>
      <c r="C87" s="17" t="s">
        <v>463</v>
      </c>
      <c r="D87" s="17" t="s">
        <v>464</v>
      </c>
      <c r="E87" s="17" t="s">
        <v>465</v>
      </c>
      <c r="F87" s="17" t="s">
        <v>139</v>
      </c>
    </row>
    <row r="88" spans="2:6" x14ac:dyDescent="0.2">
      <c r="B88" s="18">
        <v>117.17</v>
      </c>
      <c r="C88" s="23">
        <v>0</v>
      </c>
      <c r="D88" s="20">
        <v>3.6231884057971009E-2</v>
      </c>
      <c r="E88" s="20">
        <v>1.4492753623188401E-2</v>
      </c>
      <c r="F88" s="20">
        <v>3.6231884057971009E-2</v>
      </c>
    </row>
    <row r="89" spans="2:6" x14ac:dyDescent="0.2">
      <c r="B89" s="15">
        <v>120.14</v>
      </c>
      <c r="C89" s="21">
        <v>-3.6231884057971009E-2</v>
      </c>
      <c r="D89" s="24">
        <v>0</v>
      </c>
      <c r="E89" s="21">
        <v>-2.1739130434782612E-2</v>
      </c>
      <c r="F89" s="21">
        <v>0</v>
      </c>
    </row>
    <row r="90" spans="2:6" x14ac:dyDescent="0.2">
      <c r="B90" s="15">
        <v>120.17</v>
      </c>
      <c r="C90" s="21">
        <v>-1.4492753623188401E-2</v>
      </c>
      <c r="D90" s="21">
        <v>2.1739130434782612E-2</v>
      </c>
      <c r="E90" s="24">
        <v>0</v>
      </c>
      <c r="F90" s="21">
        <v>2.1739130434782612E-2</v>
      </c>
    </row>
    <row r="91" spans="2:6" ht="17" thickBot="1" x14ac:dyDescent="0.25">
      <c r="B91" s="19" t="s">
        <v>139</v>
      </c>
      <c r="C91" s="22">
        <v>-3.6231884057971009E-2</v>
      </c>
      <c r="D91" s="22">
        <v>0</v>
      </c>
      <c r="E91" s="22">
        <v>-2.1739130434782612E-2</v>
      </c>
      <c r="F91" s="25">
        <v>0</v>
      </c>
    </row>
    <row r="92" spans="2:6" x14ac:dyDescent="0.2">
      <c r="B92" s="3" t="s">
        <v>480</v>
      </c>
    </row>
    <row r="95" spans="2:6" x14ac:dyDescent="0.2">
      <c r="B95" s="3" t="s">
        <v>551</v>
      </c>
    </row>
    <row r="96" spans="2:6" ht="17" thickBot="1" x14ac:dyDescent="0.25"/>
    <row r="97" spans="2:6" x14ac:dyDescent="0.2">
      <c r="B97" s="16"/>
      <c r="C97" s="17" t="s">
        <v>463</v>
      </c>
      <c r="D97" s="17" t="s">
        <v>464</v>
      </c>
      <c r="E97" s="17" t="s">
        <v>465</v>
      </c>
      <c r="F97" s="17" t="s">
        <v>139</v>
      </c>
    </row>
    <row r="98" spans="2:6" x14ac:dyDescent="0.2">
      <c r="B98" s="18">
        <v>117.17</v>
      </c>
      <c r="C98" s="23">
        <v>0</v>
      </c>
      <c r="D98" s="31">
        <v>0.10869565217391304</v>
      </c>
      <c r="E98" s="20">
        <v>7.2463768115942032E-2</v>
      </c>
      <c r="F98" s="20">
        <v>7.2463768115942032E-2</v>
      </c>
    </row>
    <row r="99" spans="2:6" x14ac:dyDescent="0.2">
      <c r="B99" s="15">
        <v>120.14</v>
      </c>
      <c r="C99" s="33">
        <v>-0.10869565217391304</v>
      </c>
      <c r="D99" s="24">
        <v>0</v>
      </c>
      <c r="E99" s="21">
        <v>-3.6231884057971009E-2</v>
      </c>
      <c r="F99" s="21">
        <v>-3.6231884057971009E-2</v>
      </c>
    </row>
    <row r="100" spans="2:6" x14ac:dyDescent="0.2">
      <c r="B100" s="15">
        <v>120.17</v>
      </c>
      <c r="C100" s="21">
        <v>-7.2463768115942032E-2</v>
      </c>
      <c r="D100" s="21">
        <v>3.6231884057971009E-2</v>
      </c>
      <c r="E100" s="24">
        <v>0</v>
      </c>
      <c r="F100" s="21">
        <v>0</v>
      </c>
    </row>
    <row r="101" spans="2:6" ht="17" thickBot="1" x14ac:dyDescent="0.25">
      <c r="B101" s="19" t="s">
        <v>139</v>
      </c>
      <c r="C101" s="22">
        <v>-7.2463768115942032E-2</v>
      </c>
      <c r="D101" s="22">
        <v>3.6231884057971009E-2</v>
      </c>
      <c r="E101" s="22">
        <v>0</v>
      </c>
      <c r="F101" s="25">
        <v>0</v>
      </c>
    </row>
    <row r="102" spans="2:6" x14ac:dyDescent="0.2">
      <c r="B102" s="3" t="s">
        <v>552</v>
      </c>
    </row>
    <row r="105" spans="2:6" x14ac:dyDescent="0.2">
      <c r="B105" s="3" t="s">
        <v>553</v>
      </c>
    </row>
    <row r="106" spans="2:6" ht="17" thickBot="1" x14ac:dyDescent="0.25"/>
    <row r="107" spans="2:6" x14ac:dyDescent="0.2">
      <c r="B107" s="16"/>
      <c r="C107" s="17" t="s">
        <v>463</v>
      </c>
      <c r="D107" s="17" t="s">
        <v>464</v>
      </c>
      <c r="E107" s="17" t="s">
        <v>465</v>
      </c>
      <c r="F107" s="17" t="s">
        <v>139</v>
      </c>
    </row>
    <row r="108" spans="2:6" x14ac:dyDescent="0.2">
      <c r="B108" s="18">
        <v>117.17</v>
      </c>
      <c r="C108" s="23">
        <v>0</v>
      </c>
      <c r="D108" s="20">
        <v>-1.4492753623188415E-2</v>
      </c>
      <c r="E108" s="20">
        <v>7.9710144927536225E-2</v>
      </c>
      <c r="F108" s="20">
        <v>0</v>
      </c>
    </row>
    <row r="109" spans="2:6" x14ac:dyDescent="0.2">
      <c r="B109" s="15">
        <v>120.14</v>
      </c>
      <c r="C109" s="21">
        <v>1.4492753623188415E-2</v>
      </c>
      <c r="D109" s="24">
        <v>0</v>
      </c>
      <c r="E109" s="21">
        <v>9.420289855072464E-2</v>
      </c>
      <c r="F109" s="21">
        <v>1.4492753623188415E-2</v>
      </c>
    </row>
    <row r="110" spans="2:6" x14ac:dyDescent="0.2">
      <c r="B110" s="15">
        <v>120.17</v>
      </c>
      <c r="C110" s="21">
        <v>-7.9710144927536225E-2</v>
      </c>
      <c r="D110" s="21">
        <v>-9.420289855072464E-2</v>
      </c>
      <c r="E110" s="24">
        <v>0</v>
      </c>
      <c r="F110" s="21">
        <v>-7.9710144927536225E-2</v>
      </c>
    </row>
    <row r="111" spans="2:6" ht="17" thickBot="1" x14ac:dyDescent="0.25">
      <c r="B111" s="19" t="s">
        <v>139</v>
      </c>
      <c r="C111" s="22">
        <v>0</v>
      </c>
      <c r="D111" s="22">
        <v>-1.4492753623188415E-2</v>
      </c>
      <c r="E111" s="22">
        <v>7.9710144927536225E-2</v>
      </c>
      <c r="F111" s="25">
        <v>0</v>
      </c>
    </row>
    <row r="112" spans="2:6" x14ac:dyDescent="0.2">
      <c r="B112" s="3" t="s">
        <v>554</v>
      </c>
    </row>
    <row r="115" spans="2:6" x14ac:dyDescent="0.2">
      <c r="B115" s="3" t="s">
        <v>557</v>
      </c>
    </row>
    <row r="116" spans="2:6" ht="17" thickBot="1" x14ac:dyDescent="0.25"/>
    <row r="117" spans="2:6" x14ac:dyDescent="0.2">
      <c r="B117" s="16"/>
      <c r="C117" s="17" t="s">
        <v>463</v>
      </c>
      <c r="D117" s="17" t="s">
        <v>464</v>
      </c>
      <c r="E117" s="17" t="s">
        <v>465</v>
      </c>
      <c r="F117" s="17" t="s">
        <v>139</v>
      </c>
    </row>
    <row r="118" spans="2:6" x14ac:dyDescent="0.2">
      <c r="B118" s="18">
        <v>117.17</v>
      </c>
      <c r="C118" s="23">
        <v>0</v>
      </c>
      <c r="D118" s="20">
        <v>0</v>
      </c>
      <c r="E118" s="20">
        <v>-7.2463768115942073E-3</v>
      </c>
      <c r="F118" s="20">
        <v>2.8985507246376815E-2</v>
      </c>
    </row>
    <row r="119" spans="2:6" x14ac:dyDescent="0.2">
      <c r="B119" s="15">
        <v>120.14</v>
      </c>
      <c r="C119" s="21">
        <v>0</v>
      </c>
      <c r="D119" s="24">
        <v>0</v>
      </c>
      <c r="E119" s="21">
        <v>-7.2463768115942073E-3</v>
      </c>
      <c r="F119" s="21">
        <v>2.8985507246376815E-2</v>
      </c>
    </row>
    <row r="120" spans="2:6" x14ac:dyDescent="0.2">
      <c r="B120" s="15">
        <v>120.17</v>
      </c>
      <c r="C120" s="21">
        <v>7.2463768115942073E-3</v>
      </c>
      <c r="D120" s="21">
        <v>7.2463768115942073E-3</v>
      </c>
      <c r="E120" s="24">
        <v>0</v>
      </c>
      <c r="F120" s="21">
        <v>3.6231884057971023E-2</v>
      </c>
    </row>
    <row r="121" spans="2:6" ht="17" thickBot="1" x14ac:dyDescent="0.25">
      <c r="B121" s="19" t="s">
        <v>139</v>
      </c>
      <c r="C121" s="22">
        <v>-2.8985507246376815E-2</v>
      </c>
      <c r="D121" s="22">
        <v>-2.8985507246376815E-2</v>
      </c>
      <c r="E121" s="22">
        <v>-3.6231884057971023E-2</v>
      </c>
      <c r="F121" s="25">
        <v>0</v>
      </c>
    </row>
    <row r="122" spans="2:6" x14ac:dyDescent="0.2">
      <c r="B122" s="3" t="s">
        <v>558</v>
      </c>
    </row>
    <row r="125" spans="2:6" x14ac:dyDescent="0.2">
      <c r="B125" s="3" t="s">
        <v>575</v>
      </c>
    </row>
    <row r="126" spans="2:6" ht="17" thickBot="1" x14ac:dyDescent="0.25"/>
    <row r="127" spans="2:6" x14ac:dyDescent="0.2">
      <c r="B127" s="16"/>
      <c r="C127" s="17" t="s">
        <v>463</v>
      </c>
      <c r="D127" s="17" t="s">
        <v>464</v>
      </c>
      <c r="E127" s="17" t="s">
        <v>465</v>
      </c>
      <c r="F127" s="17" t="s">
        <v>139</v>
      </c>
    </row>
    <row r="128" spans="2:6" x14ac:dyDescent="0.2">
      <c r="B128" s="18">
        <v>117.17</v>
      </c>
      <c r="C128" s="23">
        <v>0</v>
      </c>
      <c r="D128" s="20">
        <v>-2.1739130434782608E-2</v>
      </c>
      <c r="E128" s="20">
        <v>-1.4492753623188401E-2</v>
      </c>
      <c r="F128" s="20">
        <v>-7.2463768115942073E-3</v>
      </c>
    </row>
    <row r="129" spans="2:6" x14ac:dyDescent="0.2">
      <c r="B129" s="15">
        <v>120.14</v>
      </c>
      <c r="C129" s="21">
        <v>2.1739130434782608E-2</v>
      </c>
      <c r="D129" s="24">
        <v>0</v>
      </c>
      <c r="E129" s="21">
        <v>7.2463768115942073E-3</v>
      </c>
      <c r="F129" s="21">
        <v>1.4492753623188401E-2</v>
      </c>
    </row>
    <row r="130" spans="2:6" x14ac:dyDescent="0.2">
      <c r="B130" s="15">
        <v>120.17</v>
      </c>
      <c r="C130" s="21">
        <v>1.4492753623188401E-2</v>
      </c>
      <c r="D130" s="21">
        <v>-7.2463768115942073E-3</v>
      </c>
      <c r="E130" s="24">
        <v>0</v>
      </c>
      <c r="F130" s="21">
        <v>7.2463768115941934E-3</v>
      </c>
    </row>
    <row r="131" spans="2:6" ht="17" thickBot="1" x14ac:dyDescent="0.25">
      <c r="B131" s="19" t="s">
        <v>139</v>
      </c>
      <c r="C131" s="22">
        <v>7.2463768115942073E-3</v>
      </c>
      <c r="D131" s="22">
        <v>-1.4492753623188401E-2</v>
      </c>
      <c r="E131" s="22">
        <v>-7.2463768115941934E-3</v>
      </c>
      <c r="F131" s="25">
        <v>0</v>
      </c>
    </row>
    <row r="132" spans="2:6" x14ac:dyDescent="0.2">
      <c r="B132" s="3" t="s">
        <v>576</v>
      </c>
    </row>
    <row r="135" spans="2:6" x14ac:dyDescent="0.2">
      <c r="B135" s="3" t="s">
        <v>607</v>
      </c>
    </row>
    <row r="136" spans="2:6" ht="17" thickBot="1" x14ac:dyDescent="0.25"/>
    <row r="137" spans="2:6" x14ac:dyDescent="0.2">
      <c r="B137" s="16"/>
      <c r="C137" s="17" t="s">
        <v>463</v>
      </c>
      <c r="D137" s="17" t="s">
        <v>464</v>
      </c>
      <c r="E137" s="17" t="s">
        <v>465</v>
      </c>
      <c r="F137" s="17" t="s">
        <v>139</v>
      </c>
    </row>
    <row r="138" spans="2:6" x14ac:dyDescent="0.2">
      <c r="B138" s="18">
        <v>117.17</v>
      </c>
      <c r="C138" s="23">
        <v>0</v>
      </c>
      <c r="D138" s="20">
        <v>-7.2463768115942004E-3</v>
      </c>
      <c r="E138" s="20">
        <v>2.1739130434782608E-2</v>
      </c>
      <c r="F138" s="20">
        <v>0</v>
      </c>
    </row>
    <row r="139" spans="2:6" x14ac:dyDescent="0.2">
      <c r="B139" s="15">
        <v>120.14</v>
      </c>
      <c r="C139" s="21">
        <v>7.2463768115942004E-3</v>
      </c>
      <c r="D139" s="24">
        <v>0</v>
      </c>
      <c r="E139" s="21">
        <v>2.8985507246376808E-2</v>
      </c>
      <c r="F139" s="21">
        <v>7.2463768115942004E-3</v>
      </c>
    </row>
    <row r="140" spans="2:6" x14ac:dyDescent="0.2">
      <c r="B140" s="15">
        <v>120.17</v>
      </c>
      <c r="C140" s="21">
        <v>-2.1739130434782608E-2</v>
      </c>
      <c r="D140" s="21">
        <v>-2.8985507246376808E-2</v>
      </c>
      <c r="E140" s="24">
        <v>0</v>
      </c>
      <c r="F140" s="21">
        <v>-2.1739130434782608E-2</v>
      </c>
    </row>
    <row r="141" spans="2:6" ht="17" thickBot="1" x14ac:dyDescent="0.25">
      <c r="B141" s="19" t="s">
        <v>139</v>
      </c>
      <c r="C141" s="22">
        <v>0</v>
      </c>
      <c r="D141" s="22">
        <v>-7.2463768115942004E-3</v>
      </c>
      <c r="E141" s="22">
        <v>2.1739130434782608E-2</v>
      </c>
      <c r="F141" s="25">
        <v>0</v>
      </c>
    </row>
    <row r="142" spans="2:6" x14ac:dyDescent="0.2">
      <c r="B142" s="3" t="s">
        <v>608</v>
      </c>
    </row>
    <row r="145" spans="2:6" x14ac:dyDescent="0.2">
      <c r="B145" s="3" t="s">
        <v>578</v>
      </c>
    </row>
    <row r="146" spans="2:6" ht="17" thickBot="1" x14ac:dyDescent="0.25"/>
    <row r="147" spans="2:6" x14ac:dyDescent="0.2">
      <c r="B147" s="16"/>
      <c r="C147" s="17" t="s">
        <v>463</v>
      </c>
      <c r="D147" s="17" t="s">
        <v>464</v>
      </c>
      <c r="E147" s="17" t="s">
        <v>465</v>
      </c>
      <c r="F147" s="17" t="s">
        <v>139</v>
      </c>
    </row>
    <row r="148" spans="2:6" x14ac:dyDescent="0.2">
      <c r="B148" s="18">
        <v>117.17</v>
      </c>
      <c r="C148" s="23">
        <v>0</v>
      </c>
      <c r="D148" s="20">
        <v>-1.4492753623188401E-2</v>
      </c>
      <c r="E148" s="20">
        <v>2.1739130434782608E-2</v>
      </c>
      <c r="F148" s="20">
        <v>2.1739130434782608E-2</v>
      </c>
    </row>
    <row r="149" spans="2:6" x14ac:dyDescent="0.2">
      <c r="B149" s="15">
        <v>120.14</v>
      </c>
      <c r="C149" s="21">
        <v>1.4492753623188401E-2</v>
      </c>
      <c r="D149" s="24">
        <v>0</v>
      </c>
      <c r="E149" s="21">
        <v>3.6231884057971009E-2</v>
      </c>
      <c r="F149" s="21">
        <v>3.6231884057971009E-2</v>
      </c>
    </row>
    <row r="150" spans="2:6" x14ac:dyDescent="0.2">
      <c r="B150" s="15">
        <v>120.17</v>
      </c>
      <c r="C150" s="21">
        <v>-2.1739130434782608E-2</v>
      </c>
      <c r="D150" s="21">
        <v>-3.6231884057971009E-2</v>
      </c>
      <c r="E150" s="24">
        <v>0</v>
      </c>
      <c r="F150" s="21">
        <v>0</v>
      </c>
    </row>
    <row r="151" spans="2:6" ht="17" thickBot="1" x14ac:dyDescent="0.25">
      <c r="B151" s="19" t="s">
        <v>139</v>
      </c>
      <c r="C151" s="22">
        <v>-2.1739130434782608E-2</v>
      </c>
      <c r="D151" s="22">
        <v>-3.6231884057971009E-2</v>
      </c>
      <c r="E151" s="22">
        <v>0</v>
      </c>
      <c r="F151" s="25">
        <v>0</v>
      </c>
    </row>
    <row r="152" spans="2:6" x14ac:dyDescent="0.2">
      <c r="B152" s="3" t="s">
        <v>579</v>
      </c>
    </row>
    <row r="155" spans="2:6" x14ac:dyDescent="0.2">
      <c r="B155" s="3" t="s">
        <v>580</v>
      </c>
    </row>
    <row r="156" spans="2:6" ht="17" thickBot="1" x14ac:dyDescent="0.25"/>
    <row r="157" spans="2:6" x14ac:dyDescent="0.2">
      <c r="B157" s="16"/>
      <c r="C157" s="17" t="s">
        <v>463</v>
      </c>
      <c r="D157" s="17" t="s">
        <v>464</v>
      </c>
      <c r="E157" s="17" t="s">
        <v>465</v>
      </c>
      <c r="F157" s="17" t="s">
        <v>139</v>
      </c>
    </row>
    <row r="158" spans="2:6" x14ac:dyDescent="0.2">
      <c r="B158" s="18">
        <v>117.17</v>
      </c>
      <c r="C158" s="23">
        <v>0</v>
      </c>
      <c r="D158" s="20">
        <v>7.2463768115942039E-3</v>
      </c>
      <c r="E158" s="20">
        <v>-5.0724637681159417E-2</v>
      </c>
      <c r="F158" s="20">
        <v>-3.6231884057971016E-2</v>
      </c>
    </row>
    <row r="159" spans="2:6" x14ac:dyDescent="0.2">
      <c r="B159" s="15">
        <v>120.14</v>
      </c>
      <c r="C159" s="21">
        <v>-7.2463768115942039E-3</v>
      </c>
      <c r="D159" s="24">
        <v>0</v>
      </c>
      <c r="E159" s="21">
        <v>-5.7971014492753617E-2</v>
      </c>
      <c r="F159" s="21">
        <v>-4.3478260869565216E-2</v>
      </c>
    </row>
    <row r="160" spans="2:6" x14ac:dyDescent="0.2">
      <c r="B160" s="15">
        <v>120.17</v>
      </c>
      <c r="C160" s="21">
        <v>5.0724637681159417E-2</v>
      </c>
      <c r="D160" s="21">
        <v>5.7971014492753617E-2</v>
      </c>
      <c r="E160" s="24">
        <v>0</v>
      </c>
      <c r="F160" s="21">
        <v>1.4492753623188401E-2</v>
      </c>
    </row>
    <row r="161" spans="2:6" ht="17" thickBot="1" x14ac:dyDescent="0.25">
      <c r="B161" s="19" t="s">
        <v>139</v>
      </c>
      <c r="C161" s="22">
        <v>3.6231884057971016E-2</v>
      </c>
      <c r="D161" s="22">
        <v>4.3478260869565216E-2</v>
      </c>
      <c r="E161" s="22">
        <v>-1.4492753623188401E-2</v>
      </c>
      <c r="F161" s="25">
        <v>0</v>
      </c>
    </row>
    <row r="162" spans="2:6" x14ac:dyDescent="0.2">
      <c r="B162" s="3" t="s">
        <v>581</v>
      </c>
    </row>
    <row r="165" spans="2:6" x14ac:dyDescent="0.2">
      <c r="B165" s="3" t="s">
        <v>582</v>
      </c>
    </row>
    <row r="166" spans="2:6" ht="17" thickBot="1" x14ac:dyDescent="0.25"/>
    <row r="167" spans="2:6" x14ac:dyDescent="0.2">
      <c r="B167" s="16"/>
      <c r="C167" s="17" t="s">
        <v>463</v>
      </c>
      <c r="D167" s="17" t="s">
        <v>464</v>
      </c>
      <c r="E167" s="17" t="s">
        <v>465</v>
      </c>
      <c r="F167" s="17" t="s">
        <v>139</v>
      </c>
    </row>
    <row r="168" spans="2:6" x14ac:dyDescent="0.2">
      <c r="B168" s="18">
        <v>117.17</v>
      </c>
      <c r="C168" s="23">
        <v>0</v>
      </c>
      <c r="D168" s="20">
        <v>-1.4492753623188415E-2</v>
      </c>
      <c r="E168" s="20">
        <v>-1.4492753623188415E-2</v>
      </c>
      <c r="F168" s="20">
        <v>-7.2463768115942073E-3</v>
      </c>
    </row>
    <row r="169" spans="2:6" x14ac:dyDescent="0.2">
      <c r="B169" s="15">
        <v>120.14</v>
      </c>
      <c r="C169" s="21">
        <v>1.4492753623188415E-2</v>
      </c>
      <c r="D169" s="24">
        <v>0</v>
      </c>
      <c r="E169" s="21">
        <v>0</v>
      </c>
      <c r="F169" s="21">
        <v>7.2463768115942073E-3</v>
      </c>
    </row>
    <row r="170" spans="2:6" x14ac:dyDescent="0.2">
      <c r="B170" s="15">
        <v>120.17</v>
      </c>
      <c r="C170" s="21">
        <v>1.4492753623188415E-2</v>
      </c>
      <c r="D170" s="21">
        <v>0</v>
      </c>
      <c r="E170" s="24">
        <v>0</v>
      </c>
      <c r="F170" s="21">
        <v>7.2463768115942073E-3</v>
      </c>
    </row>
    <row r="171" spans="2:6" ht="17" thickBot="1" x14ac:dyDescent="0.25">
      <c r="B171" s="19" t="s">
        <v>139</v>
      </c>
      <c r="C171" s="22">
        <v>7.2463768115942073E-3</v>
      </c>
      <c r="D171" s="22">
        <v>-7.2463768115942073E-3</v>
      </c>
      <c r="E171" s="22">
        <v>-7.2463768115942073E-3</v>
      </c>
      <c r="F171" s="25">
        <v>0</v>
      </c>
    </row>
    <row r="172" spans="2:6" x14ac:dyDescent="0.2">
      <c r="B172" s="3" t="s">
        <v>583</v>
      </c>
    </row>
    <row r="175" spans="2:6" x14ac:dyDescent="0.2">
      <c r="B175" s="3" t="s">
        <v>609</v>
      </c>
    </row>
    <row r="176" spans="2:6" ht="17" thickBot="1" x14ac:dyDescent="0.25"/>
    <row r="177" spans="2:6" x14ac:dyDescent="0.2">
      <c r="B177" s="16"/>
      <c r="C177" s="17" t="s">
        <v>463</v>
      </c>
      <c r="D177" s="17" t="s">
        <v>464</v>
      </c>
      <c r="E177" s="17" t="s">
        <v>465</v>
      </c>
      <c r="F177" s="17" t="s">
        <v>139</v>
      </c>
    </row>
    <row r="178" spans="2:6" x14ac:dyDescent="0.2">
      <c r="B178" s="18">
        <v>117.17</v>
      </c>
      <c r="C178" s="23">
        <v>0</v>
      </c>
      <c r="D178" s="20">
        <v>0</v>
      </c>
      <c r="E178" s="20">
        <v>-7.2463768115942004E-3</v>
      </c>
      <c r="F178" s="20">
        <v>-7.2463768115942004E-3</v>
      </c>
    </row>
    <row r="179" spans="2:6" x14ac:dyDescent="0.2">
      <c r="B179" s="15">
        <v>120.14</v>
      </c>
      <c r="C179" s="21">
        <v>0</v>
      </c>
      <c r="D179" s="24">
        <v>0</v>
      </c>
      <c r="E179" s="21">
        <v>-7.2463768115942004E-3</v>
      </c>
      <c r="F179" s="21">
        <v>-7.2463768115942004E-3</v>
      </c>
    </row>
    <row r="180" spans="2:6" x14ac:dyDescent="0.2">
      <c r="B180" s="15">
        <v>120.17</v>
      </c>
      <c r="C180" s="21">
        <v>7.2463768115942004E-3</v>
      </c>
      <c r="D180" s="21">
        <v>7.2463768115942004E-3</v>
      </c>
      <c r="E180" s="24">
        <v>0</v>
      </c>
      <c r="F180" s="21">
        <v>0</v>
      </c>
    </row>
    <row r="181" spans="2:6" ht="17" thickBot="1" x14ac:dyDescent="0.25">
      <c r="B181" s="19" t="s">
        <v>139</v>
      </c>
      <c r="C181" s="22">
        <v>7.2463768115942004E-3</v>
      </c>
      <c r="D181" s="22">
        <v>7.2463768115942004E-3</v>
      </c>
      <c r="E181" s="22">
        <v>0</v>
      </c>
      <c r="F181" s="25">
        <v>0</v>
      </c>
    </row>
    <row r="182" spans="2:6" x14ac:dyDescent="0.2">
      <c r="B182" s="3" t="s">
        <v>610</v>
      </c>
    </row>
    <row r="185" spans="2:6" x14ac:dyDescent="0.2">
      <c r="B185" s="3" t="s">
        <v>584</v>
      </c>
    </row>
    <row r="186" spans="2:6" ht="17" thickBot="1" x14ac:dyDescent="0.25"/>
    <row r="187" spans="2:6" x14ac:dyDescent="0.2">
      <c r="B187" s="16"/>
      <c r="C187" s="17" t="s">
        <v>463</v>
      </c>
      <c r="D187" s="17" t="s">
        <v>464</v>
      </c>
      <c r="E187" s="17" t="s">
        <v>465</v>
      </c>
      <c r="F187" s="17" t="s">
        <v>139</v>
      </c>
    </row>
    <row r="188" spans="2:6" x14ac:dyDescent="0.2">
      <c r="B188" s="18">
        <v>117.17</v>
      </c>
      <c r="C188" s="23">
        <v>0</v>
      </c>
      <c r="D188" s="20">
        <v>2.8985507246376812E-2</v>
      </c>
      <c r="E188" s="20">
        <v>2.8985507246376812E-2</v>
      </c>
      <c r="F188" s="20">
        <v>7.2463768115942004E-3</v>
      </c>
    </row>
    <row r="189" spans="2:6" x14ac:dyDescent="0.2">
      <c r="B189" s="15">
        <v>120.14</v>
      </c>
      <c r="C189" s="21">
        <v>-2.8985507246376812E-2</v>
      </c>
      <c r="D189" s="24">
        <v>0</v>
      </c>
      <c r="E189" s="21">
        <v>0</v>
      </c>
      <c r="F189" s="21">
        <v>-2.1739130434782612E-2</v>
      </c>
    </row>
    <row r="190" spans="2:6" x14ac:dyDescent="0.2">
      <c r="B190" s="15">
        <v>120.17</v>
      </c>
      <c r="C190" s="21">
        <v>-2.8985507246376812E-2</v>
      </c>
      <c r="D190" s="21">
        <v>0</v>
      </c>
      <c r="E190" s="24">
        <v>0</v>
      </c>
      <c r="F190" s="21">
        <v>-2.1739130434782612E-2</v>
      </c>
    </row>
    <row r="191" spans="2:6" ht="17" thickBot="1" x14ac:dyDescent="0.25">
      <c r="B191" s="19" t="s">
        <v>139</v>
      </c>
      <c r="C191" s="22">
        <v>-7.2463768115942004E-3</v>
      </c>
      <c r="D191" s="22">
        <v>2.1739130434782612E-2</v>
      </c>
      <c r="E191" s="22">
        <v>2.1739130434782612E-2</v>
      </c>
      <c r="F191" s="25">
        <v>0</v>
      </c>
    </row>
    <row r="192" spans="2:6" x14ac:dyDescent="0.2">
      <c r="B192" s="3" t="s">
        <v>585</v>
      </c>
    </row>
    <row r="195" spans="2:6" x14ac:dyDescent="0.2">
      <c r="B195" s="3" t="s">
        <v>591</v>
      </c>
    </row>
    <row r="196" spans="2:6" ht="17" thickBot="1" x14ac:dyDescent="0.25"/>
    <row r="197" spans="2:6" x14ac:dyDescent="0.2">
      <c r="B197" s="16"/>
      <c r="C197" s="17" t="s">
        <v>463</v>
      </c>
      <c r="D197" s="17" t="s">
        <v>464</v>
      </c>
      <c r="E197" s="17" t="s">
        <v>465</v>
      </c>
      <c r="F197" s="17" t="s">
        <v>139</v>
      </c>
    </row>
    <row r="198" spans="2:6" x14ac:dyDescent="0.2">
      <c r="B198" s="18">
        <v>117.17</v>
      </c>
      <c r="C198" s="23">
        <v>0</v>
      </c>
      <c r="D198" s="20">
        <v>-1.4492753623188408E-2</v>
      </c>
      <c r="E198" s="20">
        <v>1.4492753623188408E-2</v>
      </c>
      <c r="F198" s="20">
        <v>-7.2463768115942004E-3</v>
      </c>
    </row>
    <row r="199" spans="2:6" x14ac:dyDescent="0.2">
      <c r="B199" s="15">
        <v>120.14</v>
      </c>
      <c r="C199" s="21">
        <v>1.4492753623188408E-2</v>
      </c>
      <c r="D199" s="24">
        <v>0</v>
      </c>
      <c r="E199" s="21">
        <v>2.8985507246376815E-2</v>
      </c>
      <c r="F199" s="21">
        <v>7.2463768115942073E-3</v>
      </c>
    </row>
    <row r="200" spans="2:6" x14ac:dyDescent="0.2">
      <c r="B200" s="15">
        <v>120.17</v>
      </c>
      <c r="C200" s="21">
        <v>-1.4492753623188408E-2</v>
      </c>
      <c r="D200" s="21">
        <v>-2.8985507246376815E-2</v>
      </c>
      <c r="E200" s="24">
        <v>0</v>
      </c>
      <c r="F200" s="21">
        <v>-2.1739130434782608E-2</v>
      </c>
    </row>
    <row r="201" spans="2:6" ht="17" thickBot="1" x14ac:dyDescent="0.25">
      <c r="B201" s="19" t="s">
        <v>139</v>
      </c>
      <c r="C201" s="22">
        <v>7.2463768115942004E-3</v>
      </c>
      <c r="D201" s="22">
        <v>-7.2463768115942073E-3</v>
      </c>
      <c r="E201" s="22">
        <v>2.1739130434782608E-2</v>
      </c>
      <c r="F201" s="25">
        <v>0</v>
      </c>
    </row>
    <row r="202" spans="2:6" x14ac:dyDescent="0.2">
      <c r="B202" s="3" t="s">
        <v>585</v>
      </c>
    </row>
    <row r="205" spans="2:6" x14ac:dyDescent="0.2">
      <c r="B205" s="3" t="s">
        <v>601</v>
      </c>
    </row>
    <row r="206" spans="2:6" ht="17" thickBot="1" x14ac:dyDescent="0.25"/>
    <row r="207" spans="2:6" x14ac:dyDescent="0.2">
      <c r="B207" s="16"/>
      <c r="C207" s="17" t="s">
        <v>463</v>
      </c>
      <c r="D207" s="17" t="s">
        <v>464</v>
      </c>
      <c r="E207" s="17" t="s">
        <v>465</v>
      </c>
      <c r="F207" s="17" t="s">
        <v>139</v>
      </c>
    </row>
    <row r="208" spans="2:6" x14ac:dyDescent="0.2">
      <c r="B208" s="18">
        <v>117.17</v>
      </c>
      <c r="C208" s="23">
        <v>0</v>
      </c>
      <c r="D208" s="20">
        <v>4.3478260869565209E-2</v>
      </c>
      <c r="E208" s="31">
        <v>7.2463768115942018E-2</v>
      </c>
      <c r="F208" s="20">
        <v>2.8985507246376802E-2</v>
      </c>
    </row>
    <row r="209" spans="2:20" x14ac:dyDescent="0.2">
      <c r="B209" s="15">
        <v>120.14</v>
      </c>
      <c r="C209" s="21">
        <v>-4.3478260869565209E-2</v>
      </c>
      <c r="D209" s="24">
        <v>0</v>
      </c>
      <c r="E209" s="21">
        <v>2.8985507246376812E-2</v>
      </c>
      <c r="F209" s="21">
        <v>-1.4492753623188408E-2</v>
      </c>
    </row>
    <row r="210" spans="2:20" x14ac:dyDescent="0.2">
      <c r="B210" s="15">
        <v>120.17</v>
      </c>
      <c r="C210" s="33">
        <v>-7.2463768115942018E-2</v>
      </c>
      <c r="D210" s="21">
        <v>-2.8985507246376812E-2</v>
      </c>
      <c r="E210" s="24">
        <v>0</v>
      </c>
      <c r="F210" s="21">
        <v>-4.3478260869565223E-2</v>
      </c>
    </row>
    <row r="211" spans="2:20" ht="17" thickBot="1" x14ac:dyDescent="0.25">
      <c r="B211" s="19" t="s">
        <v>139</v>
      </c>
      <c r="C211" s="22">
        <v>-2.8985507246376802E-2</v>
      </c>
      <c r="D211" s="22">
        <v>1.4492753623188408E-2</v>
      </c>
      <c r="E211" s="22">
        <v>4.3478260869565223E-2</v>
      </c>
      <c r="F211" s="25">
        <v>0</v>
      </c>
    </row>
    <row r="212" spans="2:20" x14ac:dyDescent="0.2">
      <c r="B212" s="3" t="s">
        <v>602</v>
      </c>
    </row>
    <row r="215" spans="2:20" x14ac:dyDescent="0.2">
      <c r="B215" s="3" t="s">
        <v>501</v>
      </c>
    </row>
    <row r="216" spans="2:20" ht="17" thickBot="1" x14ac:dyDescent="0.25"/>
    <row r="217" spans="2:20" ht="32" customHeight="1" thickBot="1" x14ac:dyDescent="0.25">
      <c r="B217" s="5" t="s">
        <v>502</v>
      </c>
      <c r="C217" s="6" t="s">
        <v>5</v>
      </c>
      <c r="D217" s="6" t="s">
        <v>190</v>
      </c>
      <c r="E217" s="6" t="s">
        <v>9</v>
      </c>
      <c r="F217" s="6" t="s">
        <v>10</v>
      </c>
      <c r="G217" s="6" t="s">
        <v>23</v>
      </c>
      <c r="H217" s="6" t="s">
        <v>24</v>
      </c>
      <c r="I217" s="6" t="s">
        <v>26</v>
      </c>
      <c r="J217" s="6" t="s">
        <v>32</v>
      </c>
      <c r="K217" s="6" t="s">
        <v>37</v>
      </c>
      <c r="L217" s="6" t="s">
        <v>44</v>
      </c>
      <c r="M217" s="6" t="s">
        <v>51</v>
      </c>
      <c r="N217" s="6" t="s">
        <v>58</v>
      </c>
      <c r="O217" s="6" t="s">
        <v>64</v>
      </c>
      <c r="P217" s="6" t="s">
        <v>84</v>
      </c>
      <c r="Q217" s="6" t="s">
        <v>99</v>
      </c>
      <c r="R217" s="6" t="s">
        <v>134</v>
      </c>
      <c r="T217" s="6" t="s">
        <v>5</v>
      </c>
    </row>
    <row r="218" spans="2:20" ht="18" thickBot="1" x14ac:dyDescent="0.25">
      <c r="B218" s="7" t="s">
        <v>463</v>
      </c>
      <c r="C218" s="23">
        <v>7</v>
      </c>
      <c r="D218" s="23">
        <v>10</v>
      </c>
      <c r="E218" s="23">
        <v>29</v>
      </c>
      <c r="F218" s="23">
        <v>9</v>
      </c>
      <c r="G218" s="23">
        <v>19</v>
      </c>
      <c r="H218" s="23">
        <v>25</v>
      </c>
      <c r="I218" s="23">
        <v>16</v>
      </c>
      <c r="J218" s="23">
        <v>13</v>
      </c>
      <c r="K218" s="23">
        <v>8</v>
      </c>
      <c r="L218" s="23">
        <v>10</v>
      </c>
      <c r="M218" s="23">
        <v>5</v>
      </c>
      <c r="N218" s="23">
        <v>19</v>
      </c>
      <c r="O218" s="23">
        <v>7</v>
      </c>
      <c r="P218" s="23">
        <v>8</v>
      </c>
      <c r="Q218" s="23">
        <v>5</v>
      </c>
      <c r="R218" s="23">
        <v>11</v>
      </c>
      <c r="T218" s="6" t="s">
        <v>190</v>
      </c>
    </row>
    <row r="219" spans="2:20" ht="52" thickBot="1" x14ac:dyDescent="0.25">
      <c r="B219" s="4" t="s">
        <v>464</v>
      </c>
      <c r="C219" s="24">
        <v>8</v>
      </c>
      <c r="D219" s="24">
        <v>19</v>
      </c>
      <c r="E219" s="24">
        <v>35</v>
      </c>
      <c r="F219" s="24">
        <v>4</v>
      </c>
      <c r="G219" s="24">
        <v>4</v>
      </c>
      <c r="H219" s="24">
        <v>27</v>
      </c>
      <c r="I219" s="24">
        <v>16</v>
      </c>
      <c r="J219" s="24">
        <v>16</v>
      </c>
      <c r="K219" s="24">
        <v>9</v>
      </c>
      <c r="L219" s="24">
        <v>12</v>
      </c>
      <c r="M219" s="24">
        <v>4</v>
      </c>
      <c r="N219" s="24">
        <v>21</v>
      </c>
      <c r="O219" s="24">
        <v>7</v>
      </c>
      <c r="P219" s="24">
        <v>4</v>
      </c>
      <c r="Q219" s="24">
        <v>7</v>
      </c>
      <c r="R219" s="24">
        <v>5</v>
      </c>
      <c r="T219" s="6" t="s">
        <v>9</v>
      </c>
    </row>
    <row r="220" spans="2:20" ht="52" thickBot="1" x14ac:dyDescent="0.25">
      <c r="B220" s="4" t="s">
        <v>465</v>
      </c>
      <c r="C220" s="24">
        <v>4</v>
      </c>
      <c r="D220" s="24">
        <v>18</v>
      </c>
      <c r="E220" s="24">
        <v>37</v>
      </c>
      <c r="F220" s="24">
        <v>7</v>
      </c>
      <c r="G220" s="24">
        <v>9</v>
      </c>
      <c r="H220" s="24">
        <v>14</v>
      </c>
      <c r="I220" s="24">
        <v>17</v>
      </c>
      <c r="J220" s="24">
        <v>15</v>
      </c>
      <c r="K220" s="24">
        <v>5</v>
      </c>
      <c r="L220" s="24">
        <v>7</v>
      </c>
      <c r="M220" s="24">
        <v>12</v>
      </c>
      <c r="N220" s="24">
        <v>21</v>
      </c>
      <c r="O220" s="24">
        <v>8</v>
      </c>
      <c r="P220" s="24">
        <v>4</v>
      </c>
      <c r="Q220" s="24">
        <v>3</v>
      </c>
      <c r="R220" s="24">
        <v>1</v>
      </c>
      <c r="T220" s="6" t="s">
        <v>10</v>
      </c>
    </row>
    <row r="221" spans="2:20" ht="18" thickBot="1" x14ac:dyDescent="0.25">
      <c r="B221" s="8" t="s">
        <v>139</v>
      </c>
      <c r="C221" s="25">
        <v>8</v>
      </c>
      <c r="D221" s="25">
        <v>14</v>
      </c>
      <c r="E221" s="25">
        <v>39</v>
      </c>
      <c r="F221" s="25">
        <v>4</v>
      </c>
      <c r="G221" s="25">
        <v>9</v>
      </c>
      <c r="H221" s="25">
        <v>25</v>
      </c>
      <c r="I221" s="25">
        <v>12</v>
      </c>
      <c r="J221" s="25">
        <v>14</v>
      </c>
      <c r="K221" s="25">
        <v>8</v>
      </c>
      <c r="L221" s="25">
        <v>7</v>
      </c>
      <c r="M221" s="25">
        <v>10</v>
      </c>
      <c r="N221" s="25">
        <v>20</v>
      </c>
      <c r="O221" s="25">
        <v>8</v>
      </c>
      <c r="P221" s="25">
        <v>7</v>
      </c>
      <c r="Q221" s="25">
        <v>6</v>
      </c>
      <c r="R221" s="25">
        <v>7</v>
      </c>
      <c r="T221" s="6" t="s">
        <v>23</v>
      </c>
    </row>
    <row r="222" spans="2:20" ht="18" thickBot="1" x14ac:dyDescent="0.25">
      <c r="T222" s="6" t="s">
        <v>24</v>
      </c>
    </row>
    <row r="223" spans="2:20" ht="35" thickBot="1" x14ac:dyDescent="0.25">
      <c r="T223" s="6" t="s">
        <v>26</v>
      </c>
    </row>
    <row r="224" spans="2:20" ht="35" thickBot="1" x14ac:dyDescent="0.25">
      <c r="B224" s="3" t="s">
        <v>503</v>
      </c>
      <c r="T224" s="6" t="s">
        <v>32</v>
      </c>
    </row>
    <row r="225" spans="2:20" ht="35" thickBot="1" x14ac:dyDescent="0.25">
      <c r="T225" s="6" t="s">
        <v>37</v>
      </c>
    </row>
    <row r="226" spans="2:20" ht="35" thickBot="1" x14ac:dyDescent="0.25">
      <c r="B226" s="26" t="s">
        <v>504</v>
      </c>
      <c r="C226" s="27">
        <v>47.843053504018748</v>
      </c>
      <c r="T226" s="6" t="s">
        <v>44</v>
      </c>
    </row>
    <row r="227" spans="2:20" ht="35" thickBot="1" x14ac:dyDescent="0.25">
      <c r="B227" s="15" t="s">
        <v>505</v>
      </c>
      <c r="C227" s="13">
        <v>61.656233376283836</v>
      </c>
      <c r="T227" s="6" t="s">
        <v>51</v>
      </c>
    </row>
    <row r="228" spans="2:20" ht="35" thickBot="1" x14ac:dyDescent="0.25">
      <c r="B228" s="15" t="s">
        <v>506</v>
      </c>
      <c r="C228" s="28">
        <v>45</v>
      </c>
      <c r="T228" s="6" t="s">
        <v>58</v>
      </c>
    </row>
    <row r="229" spans="2:20" ht="35" thickBot="1" x14ac:dyDescent="0.25">
      <c r="B229" s="15" t="s">
        <v>507</v>
      </c>
      <c r="C229" s="13">
        <v>0.35808544443561441</v>
      </c>
      <c r="T229" s="6" t="s">
        <v>64</v>
      </c>
    </row>
    <row r="230" spans="2:20" ht="35" thickBot="1" x14ac:dyDescent="0.25">
      <c r="B230" s="19" t="s">
        <v>508</v>
      </c>
      <c r="C230" s="29">
        <v>0.05</v>
      </c>
      <c r="T230" s="6" t="s">
        <v>84</v>
      </c>
    </row>
    <row r="231" spans="2:20" ht="35" thickBot="1" x14ac:dyDescent="0.25">
      <c r="T231" s="6" t="s">
        <v>99</v>
      </c>
    </row>
    <row r="232" spans="2:20" ht="34" x14ac:dyDescent="0.2">
      <c r="B232" s="3" t="s">
        <v>509</v>
      </c>
      <c r="T232" s="6" t="s">
        <v>134</v>
      </c>
    </row>
    <row r="233" spans="2:20" x14ac:dyDescent="0.2">
      <c r="B233" s="3" t="s">
        <v>510</v>
      </c>
    </row>
    <row r="234" spans="2:20" x14ac:dyDescent="0.2">
      <c r="B234" s="3" t="s">
        <v>511</v>
      </c>
    </row>
    <row r="235" spans="2:20" ht="16" customHeight="1" x14ac:dyDescent="0.2">
      <c r="B235" s="46" t="s">
        <v>512</v>
      </c>
      <c r="C235" s="46"/>
      <c r="D235" s="46"/>
      <c r="E235" s="46"/>
      <c r="F235" s="46"/>
      <c r="G235" s="46"/>
      <c r="H235" s="46"/>
      <c r="I235" s="46"/>
      <c r="J235" s="46"/>
    </row>
    <row r="236" spans="2:20" x14ac:dyDescent="0.2">
      <c r="B236" s="46"/>
      <c r="C236" s="46"/>
      <c r="D236" s="46"/>
      <c r="E236" s="46"/>
      <c r="F236" s="46"/>
      <c r="G236" s="46"/>
      <c r="H236" s="46"/>
      <c r="I236" s="46"/>
      <c r="J236" s="46"/>
    </row>
    <row r="239" spans="2:20" x14ac:dyDescent="0.2">
      <c r="B239" s="3" t="s">
        <v>513</v>
      </c>
    </row>
    <row r="240" spans="2:20" ht="17" thickBot="1" x14ac:dyDescent="0.25"/>
    <row r="241" spans="2:5" ht="17" x14ac:dyDescent="0.2">
      <c r="B241" s="5"/>
      <c r="C241" s="6" t="s">
        <v>514</v>
      </c>
      <c r="D241" s="6" t="s">
        <v>515</v>
      </c>
      <c r="E241" s="6" t="s">
        <v>516</v>
      </c>
    </row>
    <row r="242" spans="2:5" x14ac:dyDescent="0.2">
      <c r="B242" s="7" t="s">
        <v>517</v>
      </c>
      <c r="C242" s="20">
        <v>3.4075070253431129E-2</v>
      </c>
      <c r="D242" s="20">
        <v>2.0433450954163091E-2</v>
      </c>
      <c r="E242" s="20">
        <v>6.9074653187456061E-3</v>
      </c>
    </row>
    <row r="243" spans="2:5" x14ac:dyDescent="0.2">
      <c r="B243" s="4" t="s">
        <v>518</v>
      </c>
      <c r="C243" s="21">
        <v>55.482411308034848</v>
      </c>
      <c r="D243" s="21">
        <v>33.270573526323929</v>
      </c>
      <c r="E243" s="21">
        <v>11.247015165641214</v>
      </c>
    </row>
    <row r="244" spans="2:5" ht="17" thickBot="1" x14ac:dyDescent="0.25">
      <c r="B244" s="8" t="s">
        <v>519</v>
      </c>
      <c r="C244" s="22">
        <v>55.482411308034848</v>
      </c>
      <c r="D244" s="22">
        <v>88.752984834358784</v>
      </c>
      <c r="E244" s="22">
        <v>100</v>
      </c>
    </row>
    <row r="262" spans="6:6" x14ac:dyDescent="0.2">
      <c r="F262" t="s">
        <v>520</v>
      </c>
    </row>
    <row r="280" spans="2:19" x14ac:dyDescent="0.2">
      <c r="F280" t="s">
        <v>520</v>
      </c>
    </row>
    <row r="283" spans="2:19" x14ac:dyDescent="0.2">
      <c r="B283" s="1" t="s">
        <v>521</v>
      </c>
    </row>
    <row r="285" spans="2:19" x14ac:dyDescent="0.2">
      <c r="B285" s="3" t="s">
        <v>522</v>
      </c>
    </row>
    <row r="286" spans="2:19" ht="17" thickBot="1" x14ac:dyDescent="0.25"/>
    <row r="287" spans="2:19" ht="32" customHeight="1" x14ac:dyDescent="0.2">
      <c r="B287" s="5"/>
      <c r="C287" s="6" t="s">
        <v>5</v>
      </c>
      <c r="D287" s="6" t="s">
        <v>190</v>
      </c>
      <c r="E287" s="6" t="s">
        <v>9</v>
      </c>
      <c r="F287" s="6" t="s">
        <v>10</v>
      </c>
      <c r="G287" s="6" t="s">
        <v>23</v>
      </c>
      <c r="H287" s="6" t="s">
        <v>24</v>
      </c>
      <c r="I287" s="6" t="s">
        <v>26</v>
      </c>
      <c r="J287" s="6" t="s">
        <v>32</v>
      </c>
      <c r="K287" s="6" t="s">
        <v>37</v>
      </c>
      <c r="L287" s="6" t="s">
        <v>44</v>
      </c>
      <c r="M287" s="6" t="s">
        <v>51</v>
      </c>
      <c r="N287" s="6" t="s">
        <v>58</v>
      </c>
      <c r="O287" s="6" t="s">
        <v>64</v>
      </c>
      <c r="P287" s="6" t="s">
        <v>84</v>
      </c>
      <c r="Q287" s="6" t="s">
        <v>99</v>
      </c>
      <c r="R287" s="6" t="s">
        <v>134</v>
      </c>
      <c r="S287" s="30"/>
    </row>
    <row r="288" spans="2:19" x14ac:dyDescent="0.2">
      <c r="B288" s="7" t="s">
        <v>5</v>
      </c>
      <c r="C288" s="32">
        <v>1</v>
      </c>
      <c r="D288" s="20">
        <v>0.16334799999999999</v>
      </c>
      <c r="E288" s="20">
        <v>-4.8651E-2</v>
      </c>
      <c r="F288" s="20">
        <v>0.13355400000000001</v>
      </c>
      <c r="G288" s="20">
        <v>0.27982299999999999</v>
      </c>
      <c r="H288" s="20">
        <v>0.269264</v>
      </c>
      <c r="I288" s="20">
        <v>0.16334799999999999</v>
      </c>
      <c r="J288" s="20">
        <v>-0.81450800000000001</v>
      </c>
      <c r="K288" s="20">
        <v>-0.77208399999999999</v>
      </c>
      <c r="L288" s="20">
        <v>0.14626700000000001</v>
      </c>
      <c r="M288" s="20">
        <v>6.9887000000000005E-2</v>
      </c>
      <c r="N288" s="20">
        <v>-0.18095800000000001</v>
      </c>
      <c r="O288" s="20">
        <v>-8.5167999999999994E-2</v>
      </c>
      <c r="P288" s="20">
        <v>0.14408599999999999</v>
      </c>
      <c r="Q288" s="20">
        <v>-0.75120100000000001</v>
      </c>
      <c r="R288" s="20">
        <v>0.13355400000000001</v>
      </c>
      <c r="S288" s="30"/>
    </row>
    <row r="289" spans="2:19" x14ac:dyDescent="0.2">
      <c r="B289" s="4" t="s">
        <v>190</v>
      </c>
      <c r="C289" s="21">
        <v>0.16334799999999999</v>
      </c>
      <c r="D289" s="34">
        <v>1</v>
      </c>
      <c r="E289" s="21">
        <v>-1.4208E-2</v>
      </c>
      <c r="F289" s="21">
        <v>3.4942000000000001E-2</v>
      </c>
      <c r="G289" s="21">
        <v>-0.21193899999999999</v>
      </c>
      <c r="H289" s="21">
        <v>-0.17553299999999999</v>
      </c>
      <c r="I289" s="21">
        <v>0.39682400000000001</v>
      </c>
      <c r="J289" s="21">
        <v>-7.9183000000000003E-2</v>
      </c>
      <c r="K289" s="21">
        <v>-0.823959</v>
      </c>
      <c r="L289" s="21">
        <v>1.639E-3</v>
      </c>
      <c r="M289" s="21">
        <v>4.6635999999999997E-2</v>
      </c>
      <c r="N289" s="21">
        <v>4.2666999999999997E-2</v>
      </c>
      <c r="O289" s="21">
        <v>-0.13122400000000001</v>
      </c>
      <c r="P289" s="21">
        <v>-6.2490999999999998E-2</v>
      </c>
      <c r="Q289" s="21">
        <v>0.16469</v>
      </c>
      <c r="R289" s="21">
        <v>3.4942000000000001E-2</v>
      </c>
      <c r="S289" s="30"/>
    </row>
    <row r="290" spans="2:19" x14ac:dyDescent="0.2">
      <c r="B290" s="4" t="s">
        <v>9</v>
      </c>
      <c r="C290" s="21">
        <v>-4.8651E-2</v>
      </c>
      <c r="D290" s="21">
        <v>-1.4208E-2</v>
      </c>
      <c r="E290" s="34">
        <v>1</v>
      </c>
      <c r="F290" s="21">
        <v>-0.87467499999999998</v>
      </c>
      <c r="G290" s="21">
        <v>-5.7943000000000001E-2</v>
      </c>
      <c r="H290" s="21">
        <v>-0.30716700000000002</v>
      </c>
      <c r="I290" s="21">
        <v>-4.4939E-2</v>
      </c>
      <c r="J290" s="21">
        <v>8.9800000000000001E-3</v>
      </c>
      <c r="K290" s="21">
        <v>6.8949999999999997E-2</v>
      </c>
      <c r="L290" s="21">
        <v>-0.266679</v>
      </c>
      <c r="M290" s="21">
        <v>-9.8408999999999996E-2</v>
      </c>
      <c r="N290" s="21">
        <v>-3.8525999999999998E-2</v>
      </c>
      <c r="O290" s="21">
        <v>0.115854</v>
      </c>
      <c r="P290" s="21">
        <v>-0.12592300000000001</v>
      </c>
      <c r="Q290" s="21">
        <v>-0.27659299999999998</v>
      </c>
      <c r="R290" s="21">
        <v>-0.13963</v>
      </c>
      <c r="S290" s="30"/>
    </row>
    <row r="291" spans="2:19" x14ac:dyDescent="0.2">
      <c r="B291" s="4" t="s">
        <v>10</v>
      </c>
      <c r="C291" s="21">
        <v>0.13355400000000001</v>
      </c>
      <c r="D291" s="21">
        <v>3.4942000000000001E-2</v>
      </c>
      <c r="E291" s="21">
        <v>-0.87467499999999998</v>
      </c>
      <c r="F291" s="34">
        <v>1</v>
      </c>
      <c r="G291" s="21">
        <v>2.9328E-2</v>
      </c>
      <c r="H291" s="21">
        <v>0.14447699999999999</v>
      </c>
      <c r="I291" s="21">
        <v>3.4942000000000001E-2</v>
      </c>
      <c r="J291" s="21">
        <v>0.13857</v>
      </c>
      <c r="K291" s="21">
        <v>0.107534</v>
      </c>
      <c r="L291" s="21">
        <v>0.17824899999999999</v>
      </c>
      <c r="M291" s="21">
        <v>9.9404999999999993E-2</v>
      </c>
      <c r="N291" s="21">
        <v>0.11457100000000001</v>
      </c>
      <c r="O291" s="21">
        <v>0.107534</v>
      </c>
      <c r="P291" s="21">
        <v>-9.9999999999999995E-7</v>
      </c>
      <c r="Q291" s="21">
        <v>0.19514500000000001</v>
      </c>
      <c r="R291" s="21">
        <v>-9.3959999999999998E-3</v>
      </c>
      <c r="S291" s="30"/>
    </row>
    <row r="292" spans="2:19" x14ac:dyDescent="0.2">
      <c r="B292" s="4" t="s">
        <v>23</v>
      </c>
      <c r="C292" s="21">
        <v>0.27982299999999999</v>
      </c>
      <c r="D292" s="21">
        <v>-0.21193899999999999</v>
      </c>
      <c r="E292" s="21">
        <v>-5.7943000000000001E-2</v>
      </c>
      <c r="F292" s="21">
        <v>2.9328E-2</v>
      </c>
      <c r="G292" s="34">
        <v>1</v>
      </c>
      <c r="H292" s="21">
        <v>-9.8226999999999995E-2</v>
      </c>
      <c r="I292" s="21">
        <v>9.2725000000000002E-2</v>
      </c>
      <c r="J292" s="21">
        <v>4.7029000000000001E-2</v>
      </c>
      <c r="K292" s="21">
        <v>8.2284999999999997E-2</v>
      </c>
      <c r="L292" s="21">
        <v>0.11869399999999999</v>
      </c>
      <c r="M292" s="21">
        <v>-0.79965299999999995</v>
      </c>
      <c r="N292" s="21">
        <v>-0.124988</v>
      </c>
      <c r="O292" s="21">
        <v>0.17164199999999999</v>
      </c>
      <c r="P292" s="21">
        <v>4.0174000000000001E-2</v>
      </c>
      <c r="Q292" s="21">
        <v>-9.9555000000000005E-2</v>
      </c>
      <c r="R292" s="21">
        <v>0.14366899999999999</v>
      </c>
      <c r="S292" s="30"/>
    </row>
    <row r="293" spans="2:19" x14ac:dyDescent="0.2">
      <c r="B293" s="4" t="s">
        <v>24</v>
      </c>
      <c r="C293" s="21">
        <v>0.269264</v>
      </c>
      <c r="D293" s="21">
        <v>-0.17553299999999999</v>
      </c>
      <c r="E293" s="21">
        <v>-0.30716700000000002</v>
      </c>
      <c r="F293" s="21">
        <v>0.14447699999999999</v>
      </c>
      <c r="G293" s="21">
        <v>-9.8226999999999995E-2</v>
      </c>
      <c r="H293" s="34">
        <v>1</v>
      </c>
      <c r="I293" s="21">
        <v>-4.1929000000000001E-2</v>
      </c>
      <c r="J293" s="21">
        <v>-6.5285999999999997E-2</v>
      </c>
      <c r="K293" s="21">
        <v>6.6419000000000006E-2</v>
      </c>
      <c r="L293" s="21">
        <v>0.15771499999999999</v>
      </c>
      <c r="M293" s="21">
        <v>5.5086999999999997E-2</v>
      </c>
      <c r="N293" s="21">
        <v>2.0341999999999999E-2</v>
      </c>
      <c r="O293" s="21">
        <v>3.591E-3</v>
      </c>
      <c r="P293" s="21">
        <v>-6.8911E-2</v>
      </c>
      <c r="Q293" s="21">
        <v>-0.14802799999999999</v>
      </c>
      <c r="R293" s="21">
        <v>0.26280100000000001</v>
      </c>
      <c r="S293" s="30"/>
    </row>
    <row r="294" spans="2:19" x14ac:dyDescent="0.2">
      <c r="B294" s="4" t="s">
        <v>26</v>
      </c>
      <c r="C294" s="21">
        <v>0.16334799999999999</v>
      </c>
      <c r="D294" s="21">
        <v>0.39682400000000001</v>
      </c>
      <c r="E294" s="21">
        <v>-4.4939E-2</v>
      </c>
      <c r="F294" s="21">
        <v>3.4942000000000001E-2</v>
      </c>
      <c r="G294" s="21">
        <v>9.2725000000000002E-2</v>
      </c>
      <c r="H294" s="21">
        <v>-4.1929000000000001E-2</v>
      </c>
      <c r="I294" s="34">
        <v>1</v>
      </c>
      <c r="J294" s="21">
        <v>-2.1981000000000001E-2</v>
      </c>
      <c r="K294" s="21">
        <v>5.6512E-2</v>
      </c>
      <c r="L294" s="21">
        <v>0.19289300000000001</v>
      </c>
      <c r="M294" s="21">
        <v>0.11955399999999999</v>
      </c>
      <c r="N294" s="21">
        <v>0.22093399999999999</v>
      </c>
      <c r="O294" s="21">
        <v>-2.8249E-2</v>
      </c>
      <c r="P294" s="21">
        <v>-0.21227099999999999</v>
      </c>
      <c r="Q294" s="21">
        <v>7.3001999999999997E-2</v>
      </c>
      <c r="R294" s="21">
        <v>-0.22176399999999999</v>
      </c>
      <c r="S294" s="30"/>
    </row>
    <row r="295" spans="2:19" x14ac:dyDescent="0.2">
      <c r="B295" s="4" t="s">
        <v>32</v>
      </c>
      <c r="C295" s="21">
        <v>-0.81450800000000001</v>
      </c>
      <c r="D295" s="21">
        <v>-7.9183000000000003E-2</v>
      </c>
      <c r="E295" s="21">
        <v>8.9800000000000001E-3</v>
      </c>
      <c r="F295" s="21">
        <v>0.13857</v>
      </c>
      <c r="G295" s="21">
        <v>4.7029000000000001E-2</v>
      </c>
      <c r="H295" s="21">
        <v>-6.5285999999999997E-2</v>
      </c>
      <c r="I295" s="21">
        <v>-2.1981000000000001E-2</v>
      </c>
      <c r="J295" s="34">
        <v>1</v>
      </c>
      <c r="K295" s="21">
        <v>0.99868400000000002</v>
      </c>
      <c r="L295" s="21">
        <v>-6.5313999999999997E-2</v>
      </c>
      <c r="M295" s="21">
        <v>-2.3185000000000001E-2</v>
      </c>
      <c r="N295" s="21">
        <v>-0.17161899999999999</v>
      </c>
      <c r="O295" s="21">
        <v>-0.11783</v>
      </c>
      <c r="P295" s="21">
        <v>-0.20031499999999999</v>
      </c>
      <c r="Q295" s="21">
        <v>-2.5583999999999999E-2</v>
      </c>
      <c r="R295" s="21">
        <v>-0.80789699999999998</v>
      </c>
      <c r="S295" s="30"/>
    </row>
    <row r="296" spans="2:19" x14ac:dyDescent="0.2">
      <c r="B296" s="4" t="s">
        <v>37</v>
      </c>
      <c r="C296" s="21">
        <v>-0.77208399999999999</v>
      </c>
      <c r="D296" s="21">
        <v>-0.823959</v>
      </c>
      <c r="E296" s="21">
        <v>6.8949999999999997E-2</v>
      </c>
      <c r="F296" s="21">
        <v>0.107534</v>
      </c>
      <c r="G296" s="21">
        <v>8.2284999999999997E-2</v>
      </c>
      <c r="H296" s="21">
        <v>6.6419000000000006E-2</v>
      </c>
      <c r="I296" s="21">
        <v>5.6512E-2</v>
      </c>
      <c r="J296" s="21">
        <v>0.99868400000000002</v>
      </c>
      <c r="K296" s="34">
        <v>1</v>
      </c>
      <c r="L296" s="21">
        <v>-0.14976700000000001</v>
      </c>
      <c r="M296" s="21">
        <v>-0.116081</v>
      </c>
      <c r="N296" s="21">
        <v>-2.9510000000000002E-2</v>
      </c>
      <c r="O296" s="21">
        <v>-0.108727</v>
      </c>
      <c r="P296" s="21">
        <v>-4.9475999999999999E-2</v>
      </c>
      <c r="Q296" s="21">
        <v>-0.75756699999999999</v>
      </c>
      <c r="R296" s="21">
        <v>-0.76519999999999999</v>
      </c>
      <c r="S296" s="30"/>
    </row>
    <row r="297" spans="2:19" x14ac:dyDescent="0.2">
      <c r="B297" s="4" t="s">
        <v>44</v>
      </c>
      <c r="C297" s="21">
        <v>0.14626700000000001</v>
      </c>
      <c r="D297" s="21">
        <v>1.639E-3</v>
      </c>
      <c r="E297" s="21">
        <v>-0.266679</v>
      </c>
      <c r="F297" s="21">
        <v>0.17824899999999999</v>
      </c>
      <c r="G297" s="21">
        <v>0.11869399999999999</v>
      </c>
      <c r="H297" s="21">
        <v>0.15771499999999999</v>
      </c>
      <c r="I297" s="21">
        <v>0.19289300000000001</v>
      </c>
      <c r="J297" s="21">
        <v>-6.5313999999999997E-2</v>
      </c>
      <c r="K297" s="21">
        <v>-0.14976700000000001</v>
      </c>
      <c r="L297" s="34">
        <v>1</v>
      </c>
      <c r="M297" s="21">
        <v>-2.7490000000000001E-3</v>
      </c>
      <c r="N297" s="21">
        <v>-1.7780000000000001E-2</v>
      </c>
      <c r="O297" s="21">
        <v>0.117604</v>
      </c>
      <c r="P297" s="21">
        <v>-0.774038</v>
      </c>
      <c r="Q297" s="21">
        <v>0.21449699999999999</v>
      </c>
      <c r="R297" s="21">
        <v>6.2112000000000001E-2</v>
      </c>
      <c r="S297" s="30"/>
    </row>
    <row r="298" spans="2:19" x14ac:dyDescent="0.2">
      <c r="B298" s="4" t="s">
        <v>51</v>
      </c>
      <c r="C298" s="21">
        <v>6.9887000000000005E-2</v>
      </c>
      <c r="D298" s="21">
        <v>4.6635999999999997E-2</v>
      </c>
      <c r="E298" s="21">
        <v>-9.8408999999999996E-2</v>
      </c>
      <c r="F298" s="21">
        <v>9.9404999999999993E-2</v>
      </c>
      <c r="G298" s="21">
        <v>-0.79965299999999995</v>
      </c>
      <c r="H298" s="21">
        <v>5.5086999999999997E-2</v>
      </c>
      <c r="I298" s="21">
        <v>0.11955399999999999</v>
      </c>
      <c r="J298" s="21">
        <v>-2.3185000000000001E-2</v>
      </c>
      <c r="K298" s="21">
        <v>-0.116081</v>
      </c>
      <c r="L298" s="21">
        <v>-2.7490000000000001E-3</v>
      </c>
      <c r="M298" s="34">
        <v>1</v>
      </c>
      <c r="N298" s="21">
        <v>-3.9577000000000001E-2</v>
      </c>
      <c r="O298" s="21">
        <v>-0.116081</v>
      </c>
      <c r="P298" s="21">
        <v>0.110053</v>
      </c>
      <c r="Q298" s="21">
        <v>-0.759575</v>
      </c>
      <c r="R298" s="21">
        <v>-6.6261E-2</v>
      </c>
      <c r="S298" s="30"/>
    </row>
    <row r="299" spans="2:19" x14ac:dyDescent="0.2">
      <c r="B299" s="4" t="s">
        <v>58</v>
      </c>
      <c r="C299" s="21">
        <v>-0.18095800000000001</v>
      </c>
      <c r="D299" s="21">
        <v>4.2666999999999997E-2</v>
      </c>
      <c r="E299" s="21">
        <v>-3.8525999999999998E-2</v>
      </c>
      <c r="F299" s="21">
        <v>0.11457100000000001</v>
      </c>
      <c r="G299" s="21">
        <v>-0.124988</v>
      </c>
      <c r="H299" s="21">
        <v>2.0341999999999999E-2</v>
      </c>
      <c r="I299" s="21">
        <v>0.22093399999999999</v>
      </c>
      <c r="J299" s="21">
        <v>-0.17161899999999999</v>
      </c>
      <c r="K299" s="21">
        <v>-2.9510000000000002E-2</v>
      </c>
      <c r="L299" s="21">
        <v>-1.7780000000000001E-2</v>
      </c>
      <c r="M299" s="21">
        <v>-3.9577000000000001E-2</v>
      </c>
      <c r="N299" s="34">
        <v>1</v>
      </c>
      <c r="O299" s="21">
        <v>0.85001000000000004</v>
      </c>
      <c r="P299" s="21">
        <v>-3.4261E-2</v>
      </c>
      <c r="Q299" s="21">
        <v>-7.8279999999999999E-3</v>
      </c>
      <c r="R299" s="21">
        <v>3.9497999999999998E-2</v>
      </c>
      <c r="S299" s="30"/>
    </row>
    <row r="300" spans="2:19" x14ac:dyDescent="0.2">
      <c r="B300" s="4" t="s">
        <v>64</v>
      </c>
      <c r="C300" s="21">
        <v>-8.5167999999999994E-2</v>
      </c>
      <c r="D300" s="21">
        <v>-0.13122400000000001</v>
      </c>
      <c r="E300" s="21">
        <v>0.115854</v>
      </c>
      <c r="F300" s="21">
        <v>0.107534</v>
      </c>
      <c r="G300" s="21">
        <v>0.17164199999999999</v>
      </c>
      <c r="H300" s="21">
        <v>3.591E-3</v>
      </c>
      <c r="I300" s="21">
        <v>-2.8249E-2</v>
      </c>
      <c r="J300" s="21">
        <v>-0.11783</v>
      </c>
      <c r="K300" s="21">
        <v>-0.108727</v>
      </c>
      <c r="L300" s="21">
        <v>0.117604</v>
      </c>
      <c r="M300" s="21">
        <v>-0.116081</v>
      </c>
      <c r="N300" s="21">
        <v>0.85001000000000004</v>
      </c>
      <c r="O300" s="34">
        <v>1</v>
      </c>
      <c r="P300" s="21">
        <v>-4.9475999999999999E-2</v>
      </c>
      <c r="Q300" s="21">
        <v>-0.75756699999999999</v>
      </c>
      <c r="R300" s="21">
        <v>0.107534</v>
      </c>
      <c r="S300" s="30"/>
    </row>
    <row r="301" spans="2:19" x14ac:dyDescent="0.2">
      <c r="B301" s="4" t="s">
        <v>84</v>
      </c>
      <c r="C301" s="21">
        <v>0.14408599999999999</v>
      </c>
      <c r="D301" s="21">
        <v>-6.2490999999999998E-2</v>
      </c>
      <c r="E301" s="21">
        <v>-0.12592300000000001</v>
      </c>
      <c r="F301" s="21">
        <v>-9.9999999999999995E-7</v>
      </c>
      <c r="G301" s="21">
        <v>4.0174000000000001E-2</v>
      </c>
      <c r="H301" s="21">
        <v>-6.8911E-2</v>
      </c>
      <c r="I301" s="21">
        <v>-0.21227099999999999</v>
      </c>
      <c r="J301" s="21">
        <v>-0.20031499999999999</v>
      </c>
      <c r="K301" s="21">
        <v>-4.9475999999999999E-2</v>
      </c>
      <c r="L301" s="21">
        <v>-0.774038</v>
      </c>
      <c r="M301" s="21">
        <v>0.110053</v>
      </c>
      <c r="N301" s="21">
        <v>-3.4261E-2</v>
      </c>
      <c r="O301" s="21">
        <v>-4.9475999999999999E-2</v>
      </c>
      <c r="P301" s="34">
        <v>1</v>
      </c>
      <c r="Q301" s="21">
        <v>2.9385999999999999E-2</v>
      </c>
      <c r="R301" s="21">
        <v>0.29496800000000001</v>
      </c>
      <c r="S301" s="30"/>
    </row>
    <row r="302" spans="2:19" x14ac:dyDescent="0.2">
      <c r="B302" s="4" t="s">
        <v>99</v>
      </c>
      <c r="C302" s="21">
        <v>-0.75120100000000001</v>
      </c>
      <c r="D302" s="21">
        <v>0.16469</v>
      </c>
      <c r="E302" s="21">
        <v>-0.27659299999999998</v>
      </c>
      <c r="F302" s="21">
        <v>0.19514500000000001</v>
      </c>
      <c r="G302" s="21">
        <v>-9.9555000000000005E-2</v>
      </c>
      <c r="H302" s="21">
        <v>-0.14802799999999999</v>
      </c>
      <c r="I302" s="21">
        <v>7.3001999999999997E-2</v>
      </c>
      <c r="J302" s="21">
        <v>-2.5583999999999999E-2</v>
      </c>
      <c r="K302" s="21">
        <v>-0.75756699999999999</v>
      </c>
      <c r="L302" s="21">
        <v>0.21449699999999999</v>
      </c>
      <c r="M302" s="21">
        <v>-0.759575</v>
      </c>
      <c r="N302" s="21">
        <v>-7.8279999999999999E-3</v>
      </c>
      <c r="O302" s="21">
        <v>-0.75756699999999999</v>
      </c>
      <c r="P302" s="21">
        <v>2.9385999999999999E-2</v>
      </c>
      <c r="Q302" s="34">
        <v>1</v>
      </c>
      <c r="R302" s="21">
        <v>0.19514500000000001</v>
      </c>
      <c r="S302" s="30"/>
    </row>
    <row r="303" spans="2:19" ht="17" thickBot="1" x14ac:dyDescent="0.25">
      <c r="B303" s="8" t="s">
        <v>134</v>
      </c>
      <c r="C303" s="22">
        <v>0.13355400000000001</v>
      </c>
      <c r="D303" s="22">
        <v>3.4942000000000001E-2</v>
      </c>
      <c r="E303" s="22">
        <v>-0.13963</v>
      </c>
      <c r="F303" s="22">
        <v>-9.3959999999999998E-3</v>
      </c>
      <c r="G303" s="22">
        <v>0.14366899999999999</v>
      </c>
      <c r="H303" s="22">
        <v>0.26280100000000001</v>
      </c>
      <c r="I303" s="22">
        <v>-0.22176399999999999</v>
      </c>
      <c r="J303" s="22">
        <v>-0.80789699999999998</v>
      </c>
      <c r="K303" s="22">
        <v>-0.76519999999999999</v>
      </c>
      <c r="L303" s="22">
        <v>6.2112000000000001E-2</v>
      </c>
      <c r="M303" s="22">
        <v>-6.6261E-2</v>
      </c>
      <c r="N303" s="22">
        <v>3.9497999999999998E-2</v>
      </c>
      <c r="O303" s="22">
        <v>0.107534</v>
      </c>
      <c r="P303" s="22">
        <v>0.29496800000000001</v>
      </c>
      <c r="Q303" s="22">
        <v>0.19514500000000001</v>
      </c>
      <c r="R303" s="35">
        <v>1</v>
      </c>
      <c r="S303" s="30"/>
    </row>
    <row r="306" spans="2:16" x14ac:dyDescent="0.2">
      <c r="B306" s="3" t="s">
        <v>523</v>
      </c>
    </row>
    <row r="307" spans="2:16" ht="17" thickBot="1" x14ac:dyDescent="0.25"/>
    <row r="308" spans="2:16" ht="17" x14ac:dyDescent="0.2">
      <c r="B308" s="5"/>
      <c r="C308" s="6" t="s">
        <v>514</v>
      </c>
      <c r="D308" s="6" t="s">
        <v>515</v>
      </c>
      <c r="E308" s="6" t="s">
        <v>516</v>
      </c>
      <c r="F308" s="6" t="s">
        <v>524</v>
      </c>
      <c r="G308" s="6" t="s">
        <v>525</v>
      </c>
      <c r="H308" s="6" t="s">
        <v>526</v>
      </c>
      <c r="I308" s="6" t="s">
        <v>527</v>
      </c>
      <c r="J308" s="6" t="s">
        <v>528</v>
      </c>
      <c r="K308" s="6" t="s">
        <v>529</v>
      </c>
      <c r="L308" s="6" t="s">
        <v>530</v>
      </c>
      <c r="M308" s="6" t="s">
        <v>531</v>
      </c>
      <c r="N308" s="6" t="s">
        <v>532</v>
      </c>
      <c r="O308" s="6" t="s">
        <v>533</v>
      </c>
      <c r="P308" s="6" t="s">
        <v>534</v>
      </c>
    </row>
    <row r="309" spans="2:16" x14ac:dyDescent="0.2">
      <c r="B309" s="7" t="s">
        <v>517</v>
      </c>
      <c r="C309" s="20">
        <v>4.9642914551538615</v>
      </c>
      <c r="D309" s="20">
        <v>4.1838483080619602</v>
      </c>
      <c r="E309" s="20">
        <v>3.5855311623482153</v>
      </c>
      <c r="F309" s="20">
        <v>3.396908430283613</v>
      </c>
      <c r="G309" s="20">
        <v>3.2923831679412214</v>
      </c>
      <c r="H309" s="20">
        <v>2.6493931866364413</v>
      </c>
      <c r="I309" s="20">
        <v>2.5271933660663444</v>
      </c>
      <c r="J309" s="20">
        <v>2.1199566839507127</v>
      </c>
      <c r="K309" s="20">
        <v>1.8525383066507517</v>
      </c>
      <c r="L309" s="20">
        <v>1.5646315804318824</v>
      </c>
      <c r="M309" s="20">
        <v>1.1978421455845489</v>
      </c>
      <c r="N309" s="20">
        <v>1.1310226393689431</v>
      </c>
      <c r="O309" s="20">
        <v>1.0403922316402483</v>
      </c>
      <c r="P309" s="20">
        <v>0.52652863853335186</v>
      </c>
    </row>
    <row r="310" spans="2:16" x14ac:dyDescent="0.2">
      <c r="B310" s="4" t="s">
        <v>538</v>
      </c>
      <c r="C310" s="21">
        <v>14.586930433876681</v>
      </c>
      <c r="D310" s="21">
        <v>12.293698862550151</v>
      </c>
      <c r="E310" s="21">
        <v>10.535621066198939</v>
      </c>
      <c r="F310" s="21">
        <v>9.9813774856739439</v>
      </c>
      <c r="G310" s="21">
        <v>9.6742434779016477</v>
      </c>
      <c r="H310" s="21">
        <v>7.7849003134838766</v>
      </c>
      <c r="I310" s="21">
        <v>7.4258318950013908</v>
      </c>
      <c r="J310" s="21">
        <v>6.2292194064303787</v>
      </c>
      <c r="K310" s="21">
        <v>5.4434449808847258</v>
      </c>
      <c r="L310" s="21">
        <v>4.59746818344271</v>
      </c>
      <c r="M310" s="21">
        <v>3.5197047164237962</v>
      </c>
      <c r="N310" s="21">
        <v>3.3233642119231748</v>
      </c>
      <c r="O310" s="21">
        <v>3.0570584430787919</v>
      </c>
      <c r="P310" s="21">
        <v>1.5471365231298166</v>
      </c>
    </row>
    <row r="311" spans="2:16" ht="17" thickBot="1" x14ac:dyDescent="0.25">
      <c r="B311" s="8" t="s">
        <v>519</v>
      </c>
      <c r="C311" s="22">
        <v>14.586930433876681</v>
      </c>
      <c r="D311" s="22">
        <v>26.880629296426832</v>
      </c>
      <c r="E311" s="22">
        <v>37.416250362625775</v>
      </c>
      <c r="F311" s="22">
        <v>47.39762784829972</v>
      </c>
      <c r="G311" s="22">
        <v>57.071871326201368</v>
      </c>
      <c r="H311" s="22">
        <v>64.856771639685249</v>
      </c>
      <c r="I311" s="22">
        <v>72.282603534686643</v>
      </c>
      <c r="J311" s="22">
        <v>78.511822941117018</v>
      </c>
      <c r="K311" s="22">
        <v>83.955267922001738</v>
      </c>
      <c r="L311" s="22">
        <v>88.552736105444453</v>
      </c>
      <c r="M311" s="22">
        <v>92.072440821868256</v>
      </c>
      <c r="N311" s="22">
        <v>95.395805033791433</v>
      </c>
      <c r="O311" s="22">
        <v>98.45286347687022</v>
      </c>
      <c r="P311" s="22">
        <v>100.00000000000004</v>
      </c>
    </row>
    <row r="329" spans="2:16" x14ac:dyDescent="0.2">
      <c r="F329" t="s">
        <v>520</v>
      </c>
    </row>
    <row r="332" spans="2:16" x14ac:dyDescent="0.2">
      <c r="B332" s="3" t="s">
        <v>539</v>
      </c>
    </row>
    <row r="333" spans="2:16" ht="17" thickBot="1" x14ac:dyDescent="0.25"/>
    <row r="334" spans="2:16" ht="17" x14ac:dyDescent="0.2">
      <c r="B334" s="5"/>
      <c r="C334" s="6" t="s">
        <v>514</v>
      </c>
      <c r="D334" s="6" t="s">
        <v>515</v>
      </c>
      <c r="E334" s="6" t="s">
        <v>516</v>
      </c>
      <c r="F334" s="6" t="s">
        <v>524</v>
      </c>
      <c r="G334" s="6" t="s">
        <v>525</v>
      </c>
      <c r="H334" s="6" t="s">
        <v>526</v>
      </c>
      <c r="I334" s="6" t="s">
        <v>527</v>
      </c>
      <c r="J334" s="6" t="s">
        <v>528</v>
      </c>
      <c r="K334" s="6" t="s">
        <v>529</v>
      </c>
      <c r="L334" s="6" t="s">
        <v>530</v>
      </c>
      <c r="M334" s="6" t="s">
        <v>531</v>
      </c>
      <c r="N334" s="6" t="s">
        <v>532</v>
      </c>
      <c r="O334" s="6" t="s">
        <v>533</v>
      </c>
      <c r="P334" s="6" t="s">
        <v>534</v>
      </c>
    </row>
    <row r="335" spans="2:16" x14ac:dyDescent="0.2">
      <c r="B335" s="7" t="s">
        <v>5</v>
      </c>
      <c r="C335" s="20">
        <v>-0.83935760183807973</v>
      </c>
      <c r="D335" s="20">
        <v>-0.71000246519174226</v>
      </c>
      <c r="E335" s="20">
        <v>-0.13125091288837218</v>
      </c>
      <c r="F335" s="20">
        <v>0.28919637872477832</v>
      </c>
      <c r="G335" s="20">
        <v>-0.17987634381264697</v>
      </c>
      <c r="H335" s="20">
        <v>-0.72252364726477414</v>
      </c>
      <c r="I335" s="20">
        <v>-5.7530358086402771E-2</v>
      </c>
      <c r="J335" s="20">
        <v>8.8665183710988651E-2</v>
      </c>
      <c r="K335" s="20">
        <v>0.14083899931410479</v>
      </c>
      <c r="L335" s="20">
        <v>-0.47814672557873655</v>
      </c>
      <c r="M335" s="20">
        <v>0.22907883986906247</v>
      </c>
      <c r="N335" s="20">
        <v>-2.7324453950261989E-2</v>
      </c>
      <c r="O335" s="20">
        <v>-0.14370802187673756</v>
      </c>
      <c r="P335" s="20">
        <v>-0.17337751107813437</v>
      </c>
    </row>
    <row r="336" spans="2:16" x14ac:dyDescent="0.2">
      <c r="B336" s="4" t="s">
        <v>190</v>
      </c>
      <c r="C336" s="21">
        <v>-0.5730624706697921</v>
      </c>
      <c r="D336" s="21">
        <v>0.24326981027302283</v>
      </c>
      <c r="E336" s="21">
        <v>7.04133657451535E-2</v>
      </c>
      <c r="F336" s="21">
        <v>-0.74150987963459769</v>
      </c>
      <c r="G336" s="21">
        <v>-0.28226030144058667</v>
      </c>
      <c r="H336" s="21">
        <v>-0.24397952878233059</v>
      </c>
      <c r="I336" s="21">
        <v>-0.54595570273127625</v>
      </c>
      <c r="J336" s="21">
        <v>-0.39310517285281604</v>
      </c>
      <c r="K336" s="21">
        <v>0.31381902854393418</v>
      </c>
      <c r="L336" s="21">
        <v>0.11146778498589938</v>
      </c>
      <c r="M336" s="21">
        <v>-0.45915977209136583</v>
      </c>
      <c r="N336" s="21">
        <v>0.31673595825165901</v>
      </c>
      <c r="O336" s="21">
        <v>0.36338829231309111</v>
      </c>
      <c r="P336" s="21">
        <v>-4.8934662156982977E-3</v>
      </c>
    </row>
    <row r="337" spans="2:16" x14ac:dyDescent="0.2">
      <c r="B337" s="4" t="s">
        <v>9</v>
      </c>
      <c r="C337" s="21">
        <v>0.22550277355016618</v>
      </c>
      <c r="D337" s="21">
        <v>-0.38658482879174916</v>
      </c>
      <c r="E337" s="21">
        <v>1.1390683835334592</v>
      </c>
      <c r="F337" s="21">
        <v>-0.34530972671284471</v>
      </c>
      <c r="G337" s="21">
        <v>-0.47547484760041958</v>
      </c>
      <c r="H337" s="21">
        <v>1.6712506142059713E-2</v>
      </c>
      <c r="I337" s="21">
        <v>0.34040791664039471</v>
      </c>
      <c r="J337" s="21">
        <v>-7.4373897749510531E-2</v>
      </c>
      <c r="K337" s="21">
        <v>-8.4430432996871987E-2</v>
      </c>
      <c r="L337" s="21">
        <v>-0.23189562819385334</v>
      </c>
      <c r="M337" s="21">
        <v>0.10412835460045129</v>
      </c>
      <c r="N337" s="21">
        <v>0.3811536994509791</v>
      </c>
      <c r="O337" s="21">
        <v>-0.30647207646003793</v>
      </c>
      <c r="P337" s="21">
        <v>5.831451081860313E-2</v>
      </c>
    </row>
    <row r="338" spans="2:16" x14ac:dyDescent="0.2">
      <c r="B338" s="4" t="s">
        <v>10</v>
      </c>
      <c r="C338" s="21">
        <v>6.7069616175163878E-3</v>
      </c>
      <c r="D338" s="21">
        <v>0.33172061100576861</v>
      </c>
      <c r="E338" s="21">
        <v>-0.96785698448582858</v>
      </c>
      <c r="F338" s="21">
        <v>0.24757961597416334</v>
      </c>
      <c r="G338" s="21">
        <v>0.48266295829497463</v>
      </c>
      <c r="H338" s="21">
        <v>-9.1386549352549681E-2</v>
      </c>
      <c r="I338" s="21">
        <v>-0.39235384095410064</v>
      </c>
      <c r="J338" s="21">
        <v>-0.11213364209840739</v>
      </c>
      <c r="K338" s="21">
        <v>-0.2156801408170386</v>
      </c>
      <c r="L338" s="21">
        <v>-0.16966915303436661</v>
      </c>
      <c r="M338" s="21">
        <v>2.746531460125946E-2</v>
      </c>
      <c r="N338" s="21">
        <v>0.46767485485264615</v>
      </c>
      <c r="O338" s="21">
        <v>-0.37646540409479973</v>
      </c>
      <c r="P338" s="21">
        <v>3.6910585269210927E-2</v>
      </c>
    </row>
    <row r="339" spans="2:16" x14ac:dyDescent="0.2">
      <c r="B339" s="4" t="s">
        <v>23</v>
      </c>
      <c r="C339" s="21">
        <v>3.012536991683671E-2</v>
      </c>
      <c r="D339" s="21">
        <v>0.28454664529886065</v>
      </c>
      <c r="E339" s="21">
        <v>0.4939424090611455</v>
      </c>
      <c r="F339" s="21">
        <v>1.0231372987752771</v>
      </c>
      <c r="G339" s="21">
        <v>-6.9531603987409721E-2</v>
      </c>
      <c r="H339" s="21">
        <v>-0.48248421627702981</v>
      </c>
      <c r="I339" s="21">
        <v>-0.21549082218461305</v>
      </c>
      <c r="J339" s="21">
        <v>-0.14265701527594588</v>
      </c>
      <c r="K339" s="21">
        <v>-0.10869728163551463</v>
      </c>
      <c r="L339" s="21">
        <v>3.2375188542348325E-2</v>
      </c>
      <c r="M339" s="21">
        <v>-0.38868072524791714</v>
      </c>
      <c r="N339" s="21">
        <v>-0.33818918658099584</v>
      </c>
      <c r="O339" s="21">
        <v>-4.4739293458571118E-2</v>
      </c>
      <c r="P339" s="21">
        <v>0.30906699393740533</v>
      </c>
    </row>
    <row r="340" spans="2:16" x14ac:dyDescent="0.2">
      <c r="B340" s="4" t="s">
        <v>24</v>
      </c>
      <c r="C340" s="21">
        <v>-4.5597854824772271E-2</v>
      </c>
      <c r="D340" s="21">
        <v>-0.11845005858586234</v>
      </c>
      <c r="E340" s="21">
        <v>-0.39231601209894101</v>
      </c>
      <c r="F340" s="21">
        <v>0.22789108756478205</v>
      </c>
      <c r="G340" s="21">
        <v>0.1678915679198332</v>
      </c>
      <c r="H340" s="21">
        <v>1.908419962213604E-2</v>
      </c>
      <c r="I340" s="21">
        <v>0.82715745774025684</v>
      </c>
      <c r="J340" s="21">
        <v>-5.1828823092831329E-2</v>
      </c>
      <c r="K340" s="21">
        <v>0.98081068223995815</v>
      </c>
      <c r="L340" s="21">
        <v>0.23021241737707751</v>
      </c>
      <c r="M340" s="21">
        <v>6.8030394801313248E-3</v>
      </c>
      <c r="N340" s="21">
        <v>2.7230100775691261E-2</v>
      </c>
      <c r="O340" s="21">
        <v>1.2549411969735105E-2</v>
      </c>
      <c r="P340" s="21">
        <v>9.6050009649962645E-2</v>
      </c>
    </row>
    <row r="341" spans="2:16" x14ac:dyDescent="0.2">
      <c r="B341" s="4" t="s">
        <v>26</v>
      </c>
      <c r="C341" s="21">
        <v>6.2464802574233223E-2</v>
      </c>
      <c r="D341" s="21">
        <v>0.10312166037128073</v>
      </c>
      <c r="E341" s="21">
        <v>-7.028305357272395E-2</v>
      </c>
      <c r="F341" s="21">
        <v>-0.24924325230524899</v>
      </c>
      <c r="G341" s="21">
        <v>-0.42705256754137511</v>
      </c>
      <c r="H341" s="21">
        <v>-0.41109467311993997</v>
      </c>
      <c r="I341" s="21">
        <v>-0.30627062325239079</v>
      </c>
      <c r="J341" s="21">
        <v>0.92642971807722141</v>
      </c>
      <c r="K341" s="21">
        <v>-1.6544638218419318E-2</v>
      </c>
      <c r="L341" s="21">
        <v>0.66688260615031703</v>
      </c>
      <c r="M341" s="21">
        <v>0.15665236402373167</v>
      </c>
      <c r="N341" s="21">
        <v>-8.9645672797208767E-2</v>
      </c>
      <c r="O341" s="21">
        <v>-9.7654764205944752E-2</v>
      </c>
      <c r="P341" s="21">
        <v>-6.8694383240644058E-2</v>
      </c>
    </row>
    <row r="342" spans="2:16" x14ac:dyDescent="0.2">
      <c r="B342" s="4" t="s">
        <v>32</v>
      </c>
      <c r="C342" s="21">
        <v>1.0599873883916626</v>
      </c>
      <c r="D342" s="21">
        <v>0.45396665970979028</v>
      </c>
      <c r="E342" s="21">
        <v>1.6024783652205323E-4</v>
      </c>
      <c r="F342" s="21">
        <v>-0.35518306709559577</v>
      </c>
      <c r="G342" s="21">
        <v>-1.7622732895777572E-2</v>
      </c>
      <c r="H342" s="21">
        <v>-0.20410230928542697</v>
      </c>
      <c r="I342" s="21">
        <v>-0.10689270519798923</v>
      </c>
      <c r="J342" s="21">
        <v>-0.60742125003338976</v>
      </c>
      <c r="K342" s="21">
        <v>0.15529967397677003</v>
      </c>
      <c r="L342" s="21">
        <v>1.9710595768811737E-2</v>
      </c>
      <c r="M342" s="21">
        <v>5.4407928011476703E-2</v>
      </c>
      <c r="N342" s="21">
        <v>-0.40961382493512394</v>
      </c>
      <c r="O342" s="21">
        <v>-0.28216358204179082</v>
      </c>
      <c r="P342" s="21">
        <v>-0.31349281527917389</v>
      </c>
    </row>
    <row r="343" spans="2:16" x14ac:dyDescent="0.2">
      <c r="B343" s="4" t="s">
        <v>37</v>
      </c>
      <c r="C343" s="21">
        <v>1.3030864090539265</v>
      </c>
      <c r="D343" s="21">
        <v>-0.24141786414736385</v>
      </c>
      <c r="E343" s="21">
        <v>-3.6428749058583725E-2</v>
      </c>
      <c r="F343" s="21">
        <v>0.32188295368049219</v>
      </c>
      <c r="G343" s="21">
        <v>0.20341899974702896</v>
      </c>
      <c r="H343" s="21">
        <v>-6.6385943406574915E-2</v>
      </c>
      <c r="I343" s="21">
        <v>0.25486539618695575</v>
      </c>
      <c r="J343" s="21">
        <v>0.34289228808330885</v>
      </c>
      <c r="K343" s="21">
        <v>-0.19061988899387519</v>
      </c>
      <c r="L343" s="21">
        <v>-3.1513560020842712E-2</v>
      </c>
      <c r="M343" s="21">
        <v>-0.27884298022796544</v>
      </c>
      <c r="N343" s="21">
        <v>0.39448537903453545</v>
      </c>
      <c r="O343" s="21">
        <v>0.27512641118821607</v>
      </c>
      <c r="P343" s="21">
        <v>-8.2650958309800932E-2</v>
      </c>
    </row>
    <row r="344" spans="2:16" x14ac:dyDescent="0.2">
      <c r="B344" s="4" t="s">
        <v>44</v>
      </c>
      <c r="C344" s="21">
        <v>-7.8341399672222603E-2</v>
      </c>
      <c r="D344" s="21">
        <v>0.30525918446687739</v>
      </c>
      <c r="E344" s="21">
        <v>-0.53587116201746854</v>
      </c>
      <c r="F344" s="21">
        <v>0.25229458591438825</v>
      </c>
      <c r="G344" s="21">
        <v>-0.94480630494782869</v>
      </c>
      <c r="H344" s="21">
        <v>0.13174924089675588</v>
      </c>
      <c r="I344" s="21">
        <v>0.38291946714236358</v>
      </c>
      <c r="J344" s="21">
        <v>-0.14603172474650156</v>
      </c>
      <c r="K344" s="21">
        <v>-0.3910672471488304</v>
      </c>
      <c r="L344" s="21">
        <v>-0.23595590958998572</v>
      </c>
      <c r="M344" s="21">
        <v>0.18205087539936121</v>
      </c>
      <c r="N344" s="21">
        <v>-0.11723216104289894</v>
      </c>
      <c r="O344" s="21">
        <v>0.47249067654152382</v>
      </c>
      <c r="P344" s="21">
        <v>-9.39930283422927E-2</v>
      </c>
    </row>
    <row r="345" spans="2:16" x14ac:dyDescent="0.2">
      <c r="B345" s="4" t="s">
        <v>51</v>
      </c>
      <c r="C345" s="21">
        <v>8.5552366821471409E-2</v>
      </c>
      <c r="D345" s="21">
        <v>-0.77939819526987064</v>
      </c>
      <c r="E345" s="21">
        <v>-0.56711159004165079</v>
      </c>
      <c r="F345" s="21">
        <v>-0.88753914206880014</v>
      </c>
      <c r="G345" s="21">
        <v>0.1062016006189707</v>
      </c>
      <c r="H345" s="21">
        <v>2.2908036990676568E-2</v>
      </c>
      <c r="I345" s="21">
        <v>0.2628559557785255</v>
      </c>
      <c r="J345" s="21">
        <v>-6.6376720700252537E-2</v>
      </c>
      <c r="K345" s="21">
        <v>-0.40556215647762806</v>
      </c>
      <c r="L345" s="21">
        <v>-1.8050749574283521E-3</v>
      </c>
      <c r="M345" s="21">
        <v>-0.1417619304009351</v>
      </c>
      <c r="N345" s="21">
        <v>-0.31976889023462457</v>
      </c>
      <c r="O345" s="21">
        <v>-9.6501274658286881E-2</v>
      </c>
      <c r="P345" s="21">
        <v>0.33966062775905487</v>
      </c>
    </row>
    <row r="346" spans="2:16" x14ac:dyDescent="0.2">
      <c r="B346" s="4" t="s">
        <v>58</v>
      </c>
      <c r="C346" s="21">
        <v>4.5151795274832179E-2</v>
      </c>
      <c r="D346" s="21">
        <v>-4.399197981643907E-2</v>
      </c>
      <c r="E346" s="21">
        <v>4.3486500887332941E-2</v>
      </c>
      <c r="F346" s="21">
        <v>-3.1428018419406865E-2</v>
      </c>
      <c r="G346" s="21">
        <v>-7.4726448880830659E-3</v>
      </c>
      <c r="H346" s="21">
        <v>0.88735785152047231</v>
      </c>
      <c r="I346" s="21">
        <v>-0.47019384528870639</v>
      </c>
      <c r="J346" s="21">
        <v>0.5700301314878895</v>
      </c>
      <c r="K346" s="21">
        <v>0.36409222539508279</v>
      </c>
      <c r="L346" s="21">
        <v>-0.56619991517942747</v>
      </c>
      <c r="M346" s="21">
        <v>-0.2404767160039547</v>
      </c>
      <c r="N346" s="21">
        <v>-0.26136978756236878</v>
      </c>
      <c r="O346" s="21">
        <v>-3.7063050920788349E-2</v>
      </c>
      <c r="P346" s="21">
        <v>-4.8049834424047186E-2</v>
      </c>
    </row>
    <row r="347" spans="2:16" x14ac:dyDescent="0.2">
      <c r="B347" s="4" t="s">
        <v>64</v>
      </c>
      <c r="C347" s="21">
        <v>0.12073573514253071</v>
      </c>
      <c r="D347" s="21">
        <v>-0.59984515779773528</v>
      </c>
      <c r="E347" s="21">
        <v>7.0472114333926278E-2</v>
      </c>
      <c r="F347" s="21">
        <v>0.44166166414193647</v>
      </c>
      <c r="G347" s="21">
        <v>-0.19391002691742168</v>
      </c>
      <c r="H347" s="21">
        <v>0.67618921765475637</v>
      </c>
      <c r="I347" s="21">
        <v>-0.58989237779466586</v>
      </c>
      <c r="J347" s="21">
        <v>-0.43096253119848749</v>
      </c>
      <c r="K347" s="21">
        <v>5.808345977668819E-2</v>
      </c>
      <c r="L347" s="21">
        <v>0.42508489167575286</v>
      </c>
      <c r="M347" s="21">
        <v>0.46619117660279341</v>
      </c>
      <c r="N347" s="21">
        <v>9.0421458464814336E-2</v>
      </c>
      <c r="O347" s="21">
        <v>6.0143547029775674E-2</v>
      </c>
      <c r="P347" s="21">
        <v>0.1153811605814748</v>
      </c>
    </row>
    <row r="348" spans="2:16" x14ac:dyDescent="0.2">
      <c r="B348" s="4" t="s">
        <v>84</v>
      </c>
      <c r="C348" s="21">
        <v>-0.13764848212996816</v>
      </c>
      <c r="D348" s="21">
        <v>-0.20506154288460626</v>
      </c>
      <c r="E348" s="21">
        <v>0.47164528650782284</v>
      </c>
      <c r="F348" s="21">
        <v>-0.15417718960057331</v>
      </c>
      <c r="G348" s="21">
        <v>1.1907332577053389</v>
      </c>
      <c r="H348" s="21">
        <v>-0.2188747794854671</v>
      </c>
      <c r="I348" s="21">
        <v>-8.5283584542933791E-2</v>
      </c>
      <c r="J348" s="21">
        <v>1.8856513200043234E-2</v>
      </c>
      <c r="K348" s="21">
        <v>-0.12461926630993518</v>
      </c>
      <c r="L348" s="21">
        <v>-5.1488391040864563E-2</v>
      </c>
      <c r="M348" s="21">
        <v>0.30133954832683008</v>
      </c>
      <c r="N348" s="21">
        <v>-0.15012600765902601</v>
      </c>
      <c r="O348" s="21">
        <v>0.45072012699211111</v>
      </c>
      <c r="P348" s="21">
        <v>-7.7912319941298436E-2</v>
      </c>
    </row>
    <row r="349" spans="2:16" x14ac:dyDescent="0.2">
      <c r="B349" s="4" t="s">
        <v>99</v>
      </c>
      <c r="C349" s="21">
        <v>-0.31448759325167491</v>
      </c>
      <c r="D349" s="21">
        <v>1.3735068105013983</v>
      </c>
      <c r="E349" s="21">
        <v>0.23791264359006925</v>
      </c>
      <c r="F349" s="21">
        <v>-0.26488196451315676</v>
      </c>
      <c r="G349" s="21">
        <v>0.17434662999432771</v>
      </c>
      <c r="H349" s="21">
        <v>0.16357608134545656</v>
      </c>
      <c r="I349" s="21">
        <v>0.25869803723985019</v>
      </c>
      <c r="J349" s="21">
        <v>0.16514334903645986</v>
      </c>
      <c r="K349" s="21">
        <v>-5.8970085229865507E-2</v>
      </c>
      <c r="L349" s="21">
        <v>-0.12578713213672524</v>
      </c>
      <c r="M349" s="21">
        <v>0.34195298654442291</v>
      </c>
      <c r="N349" s="21">
        <v>6.1076159016246148E-2</v>
      </c>
      <c r="O349" s="21">
        <v>-4.3680006573497486E-2</v>
      </c>
      <c r="P349" s="21">
        <v>0.20578136897505805</v>
      </c>
    </row>
    <row r="350" spans="2:16" ht="17" thickBot="1" x14ac:dyDescent="0.25">
      <c r="B350" s="8" t="s">
        <v>134</v>
      </c>
      <c r="C350" s="22">
        <v>-0.95081819995666594</v>
      </c>
      <c r="D350" s="22">
        <v>-1.0639289141631264E-2</v>
      </c>
      <c r="E350" s="22">
        <v>0.17401751266813625</v>
      </c>
      <c r="F350" s="22">
        <v>0.22562865557440359</v>
      </c>
      <c r="G350" s="22">
        <v>0.27275235975107509</v>
      </c>
      <c r="H350" s="22">
        <v>0.52325451280178004</v>
      </c>
      <c r="I350" s="22">
        <v>0.44295962930473581</v>
      </c>
      <c r="J350" s="22">
        <v>-8.7126405847760602E-2</v>
      </c>
      <c r="K350" s="22">
        <v>-0.41675293141855985</v>
      </c>
      <c r="L350" s="22">
        <v>0.40672800523202052</v>
      </c>
      <c r="M350" s="22">
        <v>-0.36114830348738391</v>
      </c>
      <c r="N350" s="22">
        <v>-2.5507625084065299E-2</v>
      </c>
      <c r="O350" s="22">
        <v>-0.20597099174399802</v>
      </c>
      <c r="P350" s="22">
        <v>-0.29810094015967892</v>
      </c>
    </row>
    <row r="368" spans="6:6" x14ac:dyDescent="0.2">
      <c r="F368" t="s">
        <v>520</v>
      </c>
    </row>
  </sheetData>
  <sortState xmlns:xlrd2="http://schemas.microsoft.com/office/spreadsheetml/2017/richdata2" ref="B16:C31">
    <sortCondition ref="C16:C31"/>
  </sortState>
  <mergeCells count="1">
    <mergeCell ref="B235:J236"/>
  </mergeCells>
  <conditionalFormatting sqref="B15:C31">
    <cfRule type="cellIs" dxfId="0" priority="1" operator="lessThan">
      <formula>0.05</formula>
    </cfRule>
  </conditionalFormatting>
  <pageMargins left="0.7" right="0.7" top="0.75" bottom="0.75" header="0.3" footer="0.3"/>
  <ignoredErrors>
    <ignoredError sqref="B218:B22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DD901884">
              <controlPr defaultSize="0" autoFill="0" autoPict="0" macro="[0]!GoToResultsNew2020111115042246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9D30-4E72-A149-984B-9141EF74279D}">
  <sheetPr codeName="XLSTAT_20210228_143815_1">
    <tabColor rgb="FF007800"/>
  </sheetPr>
  <dimension ref="B1:S368"/>
  <sheetViews>
    <sheetView tabSelected="1" topLeftCell="A20" zoomScaleNormal="100" workbookViewId="0">
      <selection activeCell="K43" sqref="K43"/>
    </sheetView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639</v>
      </c>
    </row>
    <row r="2" spans="2:3" x14ac:dyDescent="0.2">
      <c r="B2" t="s">
        <v>613</v>
      </c>
    </row>
    <row r="3" spans="2:3" x14ac:dyDescent="0.2">
      <c r="B3" t="s">
        <v>614</v>
      </c>
    </row>
    <row r="4" spans="2:3" x14ac:dyDescent="0.2">
      <c r="B4" t="s">
        <v>615</v>
      </c>
    </row>
    <row r="5" spans="2:3" x14ac:dyDescent="0.2">
      <c r="B5" t="s">
        <v>438</v>
      </c>
    </row>
    <row r="6" spans="2:3" x14ac:dyDescent="0.2">
      <c r="B6" t="s">
        <v>619</v>
      </c>
    </row>
    <row r="7" spans="2:3" x14ac:dyDescent="0.2">
      <c r="B7" t="s">
        <v>440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2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5" t="s">
        <v>443</v>
      </c>
      <c r="C15" s="6" t="s">
        <v>444</v>
      </c>
    </row>
    <row r="16" spans="2:3" x14ac:dyDescent="0.2">
      <c r="B16" s="7" t="s">
        <v>5</v>
      </c>
      <c r="C16" s="9">
        <v>0.58803932363618872</v>
      </c>
    </row>
    <row r="17" spans="2:3" x14ac:dyDescent="0.2">
      <c r="B17" s="4" t="s">
        <v>190</v>
      </c>
      <c r="C17" s="10">
        <v>0.16338238408777372</v>
      </c>
    </row>
    <row r="18" spans="2:3" x14ac:dyDescent="0.2">
      <c r="B18" s="4" t="s">
        <v>9</v>
      </c>
      <c r="C18" s="10">
        <v>0.47055399812647303</v>
      </c>
    </row>
    <row r="19" spans="2:3" x14ac:dyDescent="0.2">
      <c r="B19" s="4" t="s">
        <v>10</v>
      </c>
      <c r="C19" s="10">
        <v>0.29283432871764581</v>
      </c>
    </row>
    <row r="20" spans="2:3" x14ac:dyDescent="0.2">
      <c r="B20" s="4" t="s">
        <v>23</v>
      </c>
      <c r="C20" s="10">
        <v>4.4805442195777756E-3</v>
      </c>
    </row>
    <row r="21" spans="2:3" x14ac:dyDescent="0.2">
      <c r="B21" s="4" t="s">
        <v>24</v>
      </c>
      <c r="C21" s="10">
        <v>8.9153052597634619E-2</v>
      </c>
    </row>
    <row r="22" spans="2:3" x14ac:dyDescent="0.2">
      <c r="B22" s="4" t="s">
        <v>26</v>
      </c>
      <c r="C22" s="10">
        <v>0.74396233640413001</v>
      </c>
    </row>
    <row r="23" spans="2:3" x14ac:dyDescent="0.2">
      <c r="B23" s="4" t="s">
        <v>32</v>
      </c>
      <c r="C23" s="10">
        <v>0.92409024403901574</v>
      </c>
    </row>
    <row r="24" spans="2:3" x14ac:dyDescent="0.2">
      <c r="B24" s="4" t="s">
        <v>37</v>
      </c>
      <c r="C24" s="10">
        <v>0.62765117258129988</v>
      </c>
    </row>
    <row r="25" spans="2:3" x14ac:dyDescent="0.2">
      <c r="B25" s="4" t="s">
        <v>44</v>
      </c>
      <c r="C25" s="10">
        <v>0.51292863261125543</v>
      </c>
    </row>
    <row r="26" spans="2:3" x14ac:dyDescent="0.2">
      <c r="B26" s="4" t="s">
        <v>51</v>
      </c>
      <c r="C26" s="10">
        <v>7.8641102710318322E-2</v>
      </c>
    </row>
    <row r="27" spans="2:3" x14ac:dyDescent="0.2">
      <c r="B27" s="4" t="s">
        <v>58</v>
      </c>
      <c r="C27" s="10">
        <v>0.98039162094556642</v>
      </c>
    </row>
    <row r="28" spans="2:3" x14ac:dyDescent="0.2">
      <c r="B28" s="4" t="s">
        <v>64</v>
      </c>
      <c r="C28" s="10">
        <v>0.98574775755011901</v>
      </c>
    </row>
    <row r="29" spans="2:3" x14ac:dyDescent="0.2">
      <c r="B29" s="4" t="s">
        <v>84</v>
      </c>
      <c r="C29" s="10">
        <v>0.47381157339472013</v>
      </c>
    </row>
    <row r="30" spans="2:3" x14ac:dyDescent="0.2">
      <c r="B30" s="4" t="s">
        <v>99</v>
      </c>
      <c r="C30" s="10">
        <v>0.63220620713718689</v>
      </c>
    </row>
    <row r="31" spans="2:3" ht="17" thickBot="1" x14ac:dyDescent="0.25">
      <c r="B31" s="8" t="s">
        <v>134</v>
      </c>
      <c r="C31" s="11">
        <v>2.7034335667891263E-2</v>
      </c>
    </row>
    <row r="34" spans="2:6" x14ac:dyDescent="0.2">
      <c r="B34" s="3" t="s">
        <v>620</v>
      </c>
    </row>
    <row r="35" spans="2:6" ht="17" thickBot="1" x14ac:dyDescent="0.25"/>
    <row r="36" spans="2:6" ht="17" x14ac:dyDescent="0.2">
      <c r="B36" s="5" t="s">
        <v>443</v>
      </c>
      <c r="C36" s="6" t="s">
        <v>463</v>
      </c>
      <c r="D36" s="6" t="s">
        <v>464</v>
      </c>
      <c r="E36" s="6" t="s">
        <v>465</v>
      </c>
      <c r="F36" s="6" t="s">
        <v>139</v>
      </c>
    </row>
    <row r="37" spans="2:6" x14ac:dyDescent="0.2">
      <c r="B37" s="7" t="s">
        <v>5</v>
      </c>
      <c r="C37" s="12" t="s">
        <v>450</v>
      </c>
      <c r="D37" s="12" t="s">
        <v>451</v>
      </c>
      <c r="E37" s="12" t="s">
        <v>452</v>
      </c>
      <c r="F37" s="12" t="s">
        <v>451</v>
      </c>
    </row>
    <row r="38" spans="2:6" x14ac:dyDescent="0.2">
      <c r="B38" s="4" t="s">
        <v>190</v>
      </c>
      <c r="C38" s="13" t="s">
        <v>564</v>
      </c>
      <c r="D38" s="13" t="s">
        <v>565</v>
      </c>
      <c r="E38" s="13" t="s">
        <v>454</v>
      </c>
      <c r="F38" s="13" t="s">
        <v>548</v>
      </c>
    </row>
    <row r="39" spans="2:6" x14ac:dyDescent="0.2">
      <c r="B39" s="4" t="s">
        <v>9</v>
      </c>
      <c r="C39" s="13" t="s">
        <v>457</v>
      </c>
      <c r="D39" s="13" t="s">
        <v>458</v>
      </c>
      <c r="E39" s="13" t="s">
        <v>459</v>
      </c>
      <c r="F39" s="13" t="s">
        <v>460</v>
      </c>
    </row>
    <row r="40" spans="2:6" x14ac:dyDescent="0.2">
      <c r="B40" s="4" t="s">
        <v>10</v>
      </c>
      <c r="C40" s="13" t="s">
        <v>453</v>
      </c>
      <c r="D40" s="13" t="s">
        <v>452</v>
      </c>
      <c r="E40" s="13" t="s">
        <v>450</v>
      </c>
      <c r="F40" s="13" t="s">
        <v>452</v>
      </c>
    </row>
    <row r="41" spans="2:6" x14ac:dyDescent="0.2">
      <c r="B41" s="4" t="s">
        <v>23</v>
      </c>
      <c r="C41" s="13" t="s">
        <v>544</v>
      </c>
      <c r="D41" s="13" t="s">
        <v>452</v>
      </c>
      <c r="E41" s="13" t="s">
        <v>545</v>
      </c>
      <c r="F41" s="13" t="s">
        <v>545</v>
      </c>
    </row>
    <row r="42" spans="2:6" x14ac:dyDescent="0.2">
      <c r="B42" s="4" t="s">
        <v>24</v>
      </c>
      <c r="C42" s="13" t="s">
        <v>546</v>
      </c>
      <c r="D42" s="13" t="s">
        <v>547</v>
      </c>
      <c r="E42" s="13" t="s">
        <v>548</v>
      </c>
      <c r="F42" s="13" t="s">
        <v>546</v>
      </c>
    </row>
    <row r="43" spans="2:6" x14ac:dyDescent="0.2">
      <c r="B43" s="4" t="s">
        <v>26</v>
      </c>
      <c r="C43" s="13" t="s">
        <v>549</v>
      </c>
      <c r="D43" s="13" t="s">
        <v>549</v>
      </c>
      <c r="E43" s="13" t="s">
        <v>550</v>
      </c>
      <c r="F43" s="13" t="s">
        <v>456</v>
      </c>
    </row>
    <row r="44" spans="2:6" x14ac:dyDescent="0.2">
      <c r="B44" s="4" t="s">
        <v>32</v>
      </c>
      <c r="C44" s="13" t="s">
        <v>563</v>
      </c>
      <c r="D44" s="13" t="s">
        <v>549</v>
      </c>
      <c r="E44" s="13" t="s">
        <v>455</v>
      </c>
      <c r="F44" s="13" t="s">
        <v>548</v>
      </c>
    </row>
    <row r="45" spans="2:6" x14ac:dyDescent="0.2">
      <c r="B45" s="4" t="s">
        <v>37</v>
      </c>
      <c r="C45" s="13" t="s">
        <v>451</v>
      </c>
      <c r="D45" s="13" t="s">
        <v>453</v>
      </c>
      <c r="E45" s="13" t="s">
        <v>461</v>
      </c>
      <c r="F45" s="13" t="s">
        <v>451</v>
      </c>
    </row>
    <row r="46" spans="2:6" x14ac:dyDescent="0.2">
      <c r="B46" s="4" t="s">
        <v>44</v>
      </c>
      <c r="C46" s="13" t="s">
        <v>564</v>
      </c>
      <c r="D46" s="13" t="s">
        <v>456</v>
      </c>
      <c r="E46" s="13" t="s">
        <v>450</v>
      </c>
      <c r="F46" s="13" t="s">
        <v>450</v>
      </c>
    </row>
    <row r="47" spans="2:6" x14ac:dyDescent="0.2">
      <c r="B47" s="4" t="s">
        <v>51</v>
      </c>
      <c r="C47" s="13" t="s">
        <v>461</v>
      </c>
      <c r="D47" s="13" t="s">
        <v>452</v>
      </c>
      <c r="E47" s="13" t="s">
        <v>456</v>
      </c>
      <c r="F47" s="13" t="s">
        <v>564</v>
      </c>
    </row>
    <row r="48" spans="2:6" x14ac:dyDescent="0.2">
      <c r="B48" s="4" t="s">
        <v>58</v>
      </c>
      <c r="C48" s="13" t="s">
        <v>565</v>
      </c>
      <c r="D48" s="13" t="s">
        <v>566</v>
      </c>
      <c r="E48" s="13" t="s">
        <v>566</v>
      </c>
      <c r="F48" s="13" t="s">
        <v>567</v>
      </c>
    </row>
    <row r="49" spans="2:6" x14ac:dyDescent="0.2">
      <c r="B49" s="4" t="s">
        <v>64</v>
      </c>
      <c r="C49" s="13" t="s">
        <v>450</v>
      </c>
      <c r="D49" s="13" t="s">
        <v>450</v>
      </c>
      <c r="E49" s="13" t="s">
        <v>451</v>
      </c>
      <c r="F49" s="13" t="s">
        <v>451</v>
      </c>
    </row>
    <row r="50" spans="2:6" x14ac:dyDescent="0.2">
      <c r="B50" s="4" t="s">
        <v>84</v>
      </c>
      <c r="C50" s="13" t="s">
        <v>451</v>
      </c>
      <c r="D50" s="13" t="s">
        <v>452</v>
      </c>
      <c r="E50" s="13" t="s">
        <v>452</v>
      </c>
      <c r="F50" s="13" t="s">
        <v>450</v>
      </c>
    </row>
    <row r="51" spans="2:6" x14ac:dyDescent="0.2">
      <c r="B51" s="4" t="s">
        <v>99</v>
      </c>
      <c r="C51" s="13" t="s">
        <v>461</v>
      </c>
      <c r="D51" s="13" t="s">
        <v>450</v>
      </c>
      <c r="E51" s="13" t="s">
        <v>446</v>
      </c>
      <c r="F51" s="13" t="s">
        <v>462</v>
      </c>
    </row>
    <row r="52" spans="2:6" ht="17" thickBot="1" x14ac:dyDescent="0.25">
      <c r="B52" s="8" t="s">
        <v>134</v>
      </c>
      <c r="C52" s="14" t="s">
        <v>621</v>
      </c>
      <c r="D52" s="14" t="s">
        <v>461</v>
      </c>
      <c r="E52" s="14" t="s">
        <v>447</v>
      </c>
      <c r="F52" s="14" t="s">
        <v>450</v>
      </c>
    </row>
    <row r="55" spans="2:6" x14ac:dyDescent="0.2">
      <c r="B55" s="3" t="s">
        <v>622</v>
      </c>
    </row>
    <row r="56" spans="2:6" ht="17" thickBot="1" x14ac:dyDescent="0.25"/>
    <row r="57" spans="2:6" x14ac:dyDescent="0.2">
      <c r="B57" s="16"/>
      <c r="C57" s="17" t="s">
        <v>463</v>
      </c>
      <c r="D57" s="17" t="s">
        <v>464</v>
      </c>
      <c r="E57" s="17" t="s">
        <v>465</v>
      </c>
      <c r="F57" s="17" t="s">
        <v>139</v>
      </c>
    </row>
    <row r="58" spans="2:6" x14ac:dyDescent="0.2">
      <c r="B58" s="18">
        <v>117.17</v>
      </c>
      <c r="C58" s="23">
        <v>1</v>
      </c>
      <c r="D58" s="20">
        <v>1</v>
      </c>
      <c r="E58" s="20">
        <v>0.50498507509384583</v>
      </c>
      <c r="F58" s="20">
        <v>1</v>
      </c>
    </row>
    <row r="59" spans="2:6" x14ac:dyDescent="0.2">
      <c r="B59" s="15">
        <v>120.14</v>
      </c>
      <c r="C59" s="21">
        <v>1</v>
      </c>
      <c r="D59" s="24">
        <v>1</v>
      </c>
      <c r="E59" s="21">
        <v>0.38647623077123261</v>
      </c>
      <c r="F59" s="21">
        <v>0.77282999268444752</v>
      </c>
    </row>
    <row r="60" spans="2:6" x14ac:dyDescent="0.2">
      <c r="B60" s="15">
        <v>120.17</v>
      </c>
      <c r="C60" s="21">
        <v>0.50498507509384583</v>
      </c>
      <c r="D60" s="21">
        <v>0.38647623077123261</v>
      </c>
      <c r="E60" s="24">
        <v>1</v>
      </c>
      <c r="F60" s="21">
        <v>0.34278171114791145</v>
      </c>
    </row>
    <row r="61" spans="2:6" ht="17" thickBot="1" x14ac:dyDescent="0.25">
      <c r="B61" s="19" t="s">
        <v>139</v>
      </c>
      <c r="C61" s="22">
        <v>1</v>
      </c>
      <c r="D61" s="22">
        <v>0.77282999268444752</v>
      </c>
      <c r="E61" s="22">
        <v>0.34278171114791145</v>
      </c>
      <c r="F61" s="25">
        <v>1</v>
      </c>
    </row>
    <row r="62" spans="2:6" x14ac:dyDescent="0.2">
      <c r="B62" s="3" t="s">
        <v>623</v>
      </c>
    </row>
    <row r="65" spans="2:6" x14ac:dyDescent="0.2">
      <c r="B65" s="3" t="s">
        <v>624</v>
      </c>
    </row>
    <row r="66" spans="2:6" ht="17" thickBot="1" x14ac:dyDescent="0.25"/>
    <row r="67" spans="2:6" x14ac:dyDescent="0.2">
      <c r="B67" s="16"/>
      <c r="C67" s="17" t="s">
        <v>463</v>
      </c>
      <c r="D67" s="17" t="s">
        <v>464</v>
      </c>
      <c r="E67" s="17" t="s">
        <v>465</v>
      </c>
      <c r="F67" s="17" t="s">
        <v>139</v>
      </c>
    </row>
    <row r="68" spans="2:6" x14ac:dyDescent="0.2">
      <c r="B68" s="18">
        <v>117.17</v>
      </c>
      <c r="C68" s="23">
        <v>1</v>
      </c>
      <c r="D68" s="20">
        <v>8.0855598370052295E-2</v>
      </c>
      <c r="E68" s="20">
        <v>9.8960154019405833E-2</v>
      </c>
      <c r="F68" s="20">
        <v>0.42267807417063552</v>
      </c>
    </row>
    <row r="69" spans="2:6" x14ac:dyDescent="0.2">
      <c r="B69" s="15">
        <v>120.14</v>
      </c>
      <c r="C69" s="21">
        <v>8.0855598370052295E-2</v>
      </c>
      <c r="D69" s="24">
        <v>1</v>
      </c>
      <c r="E69" s="21">
        <v>1</v>
      </c>
      <c r="F69" s="21">
        <v>0.40424849473947111</v>
      </c>
    </row>
    <row r="70" spans="2:6" x14ac:dyDescent="0.2">
      <c r="B70" s="15">
        <v>120.17</v>
      </c>
      <c r="C70" s="21">
        <v>9.8960154019405833E-2</v>
      </c>
      <c r="D70" s="21">
        <v>1</v>
      </c>
      <c r="E70" s="24">
        <v>1</v>
      </c>
      <c r="F70" s="21">
        <v>0.50233495436050202</v>
      </c>
    </row>
    <row r="71" spans="2:6" ht="17" thickBot="1" x14ac:dyDescent="0.25">
      <c r="B71" s="19" t="s">
        <v>139</v>
      </c>
      <c r="C71" s="22">
        <v>0.42267807417063552</v>
      </c>
      <c r="D71" s="22">
        <v>0.40424849473947111</v>
      </c>
      <c r="E71" s="22">
        <v>0.50233495436050202</v>
      </c>
      <c r="F71" s="25">
        <v>1</v>
      </c>
    </row>
    <row r="72" spans="2:6" x14ac:dyDescent="0.2">
      <c r="B72" s="3" t="s">
        <v>623</v>
      </c>
    </row>
    <row r="75" spans="2:6" x14ac:dyDescent="0.2">
      <c r="B75" s="3" t="s">
        <v>625</v>
      </c>
    </row>
    <row r="76" spans="2:6" ht="17" thickBot="1" x14ac:dyDescent="0.25"/>
    <row r="77" spans="2:6" x14ac:dyDescent="0.2">
      <c r="B77" s="16"/>
      <c r="C77" s="17" t="s">
        <v>463</v>
      </c>
      <c r="D77" s="17" t="s">
        <v>464</v>
      </c>
      <c r="E77" s="17" t="s">
        <v>465</v>
      </c>
      <c r="F77" s="17" t="s">
        <v>139</v>
      </c>
    </row>
    <row r="78" spans="2:6" x14ac:dyDescent="0.2">
      <c r="B78" s="18">
        <v>117.17</v>
      </c>
      <c r="C78" s="23">
        <v>1</v>
      </c>
      <c r="D78" s="20">
        <v>0.4404006981390034</v>
      </c>
      <c r="E78" s="20">
        <v>0.28008721081149757</v>
      </c>
      <c r="F78" s="20">
        <v>0.16491482255330148</v>
      </c>
    </row>
    <row r="79" spans="2:6" x14ac:dyDescent="0.2">
      <c r="B79" s="15">
        <v>120.14</v>
      </c>
      <c r="C79" s="21">
        <v>0.4404006981390034</v>
      </c>
      <c r="D79" s="24">
        <v>1</v>
      </c>
      <c r="E79" s="21">
        <v>0.88016845490672546</v>
      </c>
      <c r="F79" s="21">
        <v>0.67739160192627734</v>
      </c>
    </row>
    <row r="80" spans="2:6" x14ac:dyDescent="0.2">
      <c r="B80" s="15">
        <v>120.17</v>
      </c>
      <c r="C80" s="21">
        <v>0.28008721081149757</v>
      </c>
      <c r="D80" s="21">
        <v>0.88016845490672546</v>
      </c>
      <c r="E80" s="24">
        <v>1</v>
      </c>
      <c r="F80" s="21">
        <v>0.88016845490672546</v>
      </c>
    </row>
    <row r="81" spans="2:6" ht="17" thickBot="1" x14ac:dyDescent="0.25">
      <c r="B81" s="19" t="s">
        <v>139</v>
      </c>
      <c r="C81" s="22">
        <v>0.16491482255330148</v>
      </c>
      <c r="D81" s="22">
        <v>0.67739160192627734</v>
      </c>
      <c r="E81" s="22">
        <v>0.88016845490672546</v>
      </c>
      <c r="F81" s="25">
        <v>1</v>
      </c>
    </row>
    <row r="82" spans="2:6" x14ac:dyDescent="0.2">
      <c r="B82" s="3" t="s">
        <v>623</v>
      </c>
    </row>
    <row r="85" spans="2:6" x14ac:dyDescent="0.2">
      <c r="B85" s="3" t="s">
        <v>626</v>
      </c>
    </row>
    <row r="86" spans="2:6" ht="17" thickBot="1" x14ac:dyDescent="0.25"/>
    <row r="87" spans="2:6" x14ac:dyDescent="0.2">
      <c r="B87" s="16"/>
      <c r="C87" s="17" t="s">
        <v>463</v>
      </c>
      <c r="D87" s="17" t="s">
        <v>464</v>
      </c>
      <c r="E87" s="17" t="s">
        <v>465</v>
      </c>
      <c r="F87" s="17" t="s">
        <v>139</v>
      </c>
    </row>
    <row r="88" spans="2:6" x14ac:dyDescent="0.2">
      <c r="B88" s="18">
        <v>117.17</v>
      </c>
      <c r="C88" s="23">
        <v>1</v>
      </c>
      <c r="D88" s="20">
        <v>0.22779999398822892</v>
      </c>
      <c r="E88" s="20">
        <v>0.78926802613428126</v>
      </c>
      <c r="F88" s="20">
        <v>0.22779999398822892</v>
      </c>
    </row>
    <row r="89" spans="2:6" x14ac:dyDescent="0.2">
      <c r="B89" s="15">
        <v>120.14</v>
      </c>
      <c r="C89" s="21">
        <v>0.22779999398822892</v>
      </c>
      <c r="D89" s="24">
        <v>1</v>
      </c>
      <c r="E89" s="21">
        <v>0.50498507509384583</v>
      </c>
      <c r="F89" s="21">
        <v>0.68309139830960874</v>
      </c>
    </row>
    <row r="90" spans="2:6" x14ac:dyDescent="0.2">
      <c r="B90" s="15">
        <v>120.17</v>
      </c>
      <c r="C90" s="21">
        <v>0.78926802613428126</v>
      </c>
      <c r="D90" s="21">
        <v>0.50498507509384583</v>
      </c>
      <c r="E90" s="24">
        <v>1</v>
      </c>
      <c r="F90" s="21">
        <v>0.44969179796889081</v>
      </c>
    </row>
    <row r="91" spans="2:6" ht="17" thickBot="1" x14ac:dyDescent="0.25">
      <c r="B91" s="19" t="s">
        <v>139</v>
      </c>
      <c r="C91" s="22">
        <v>0.22779999398822892</v>
      </c>
      <c r="D91" s="22">
        <v>0.68309139830960874</v>
      </c>
      <c r="E91" s="22">
        <v>0.44969179796889081</v>
      </c>
      <c r="F91" s="25">
        <v>1</v>
      </c>
    </row>
    <row r="92" spans="2:6" x14ac:dyDescent="0.2">
      <c r="B92" s="3" t="s">
        <v>623</v>
      </c>
    </row>
    <row r="95" spans="2:6" x14ac:dyDescent="0.2">
      <c r="B95" s="3" t="s">
        <v>627</v>
      </c>
    </row>
    <row r="96" spans="2:6" ht="17" thickBot="1" x14ac:dyDescent="0.25"/>
    <row r="97" spans="2:6" x14ac:dyDescent="0.2">
      <c r="B97" s="16"/>
      <c r="C97" s="17" t="s">
        <v>463</v>
      </c>
      <c r="D97" s="17" t="s">
        <v>464</v>
      </c>
      <c r="E97" s="17" t="s">
        <v>465</v>
      </c>
      <c r="F97" s="17" t="s">
        <v>139</v>
      </c>
    </row>
    <row r="98" spans="2:6" x14ac:dyDescent="0.2">
      <c r="B98" s="18">
        <v>117.17</v>
      </c>
      <c r="C98" s="23">
        <v>1</v>
      </c>
      <c r="D98" s="31">
        <v>1.3189686125794076E-3</v>
      </c>
      <c r="E98" s="20">
        <v>5.5008833629265785E-2</v>
      </c>
      <c r="F98" s="20">
        <v>7.75561667436655E-2</v>
      </c>
    </row>
    <row r="99" spans="2:6" x14ac:dyDescent="0.2">
      <c r="B99" s="15">
        <v>120.14</v>
      </c>
      <c r="C99" s="33">
        <v>1.3189686125794076E-3</v>
      </c>
      <c r="D99" s="24">
        <v>1</v>
      </c>
      <c r="E99" s="21">
        <v>0.26725749315438785</v>
      </c>
      <c r="F99" s="21">
        <v>0.26725749315438785</v>
      </c>
    </row>
    <row r="100" spans="2:6" x14ac:dyDescent="0.2">
      <c r="B100" s="15">
        <v>120.17</v>
      </c>
      <c r="C100" s="21">
        <v>5.5008833629265785E-2</v>
      </c>
      <c r="D100" s="21">
        <v>0.26725749315438785</v>
      </c>
      <c r="E100" s="24">
        <v>1</v>
      </c>
      <c r="F100" s="21">
        <v>0.8025873486341526</v>
      </c>
    </row>
    <row r="101" spans="2:6" ht="17" thickBot="1" x14ac:dyDescent="0.25">
      <c r="B101" s="19" t="s">
        <v>139</v>
      </c>
      <c r="C101" s="22">
        <v>7.75561667436655E-2</v>
      </c>
      <c r="D101" s="22">
        <v>0.26725749315438785</v>
      </c>
      <c r="E101" s="22">
        <v>0.8025873486341526</v>
      </c>
      <c r="F101" s="25">
        <v>1</v>
      </c>
    </row>
    <row r="102" spans="2:6" x14ac:dyDescent="0.2">
      <c r="B102" s="3" t="s">
        <v>623</v>
      </c>
    </row>
    <row r="105" spans="2:6" x14ac:dyDescent="0.2">
      <c r="B105" s="3" t="s">
        <v>628</v>
      </c>
    </row>
    <row r="106" spans="2:6" ht="17" thickBot="1" x14ac:dyDescent="0.25"/>
    <row r="107" spans="2:6" x14ac:dyDescent="0.2">
      <c r="B107" s="16"/>
      <c r="C107" s="17" t="s">
        <v>463</v>
      </c>
      <c r="D107" s="17" t="s">
        <v>464</v>
      </c>
      <c r="E107" s="17" t="s">
        <v>465</v>
      </c>
      <c r="F107" s="17" t="s">
        <v>139</v>
      </c>
    </row>
    <row r="108" spans="2:6" x14ac:dyDescent="0.2">
      <c r="B108" s="18">
        <v>117.17</v>
      </c>
      <c r="C108" s="23">
        <v>1</v>
      </c>
      <c r="D108" s="20">
        <v>0.85968379519866622</v>
      </c>
      <c r="E108" s="20">
        <v>7.2486085086846508E-2</v>
      </c>
      <c r="F108" s="20">
        <v>0.8711314915971583</v>
      </c>
    </row>
    <row r="109" spans="2:6" x14ac:dyDescent="0.2">
      <c r="B109" s="15">
        <v>120.14</v>
      </c>
      <c r="C109" s="21">
        <v>0.85968379519866622</v>
      </c>
      <c r="D109" s="24">
        <v>1</v>
      </c>
      <c r="E109" s="21">
        <v>3.1141210595796665E-2</v>
      </c>
      <c r="F109" s="21">
        <v>0.86383174285472641</v>
      </c>
    </row>
    <row r="110" spans="2:6" x14ac:dyDescent="0.2">
      <c r="B110" s="15">
        <v>120.17</v>
      </c>
      <c r="C110" s="21">
        <v>7.2486085086846508E-2</v>
      </c>
      <c r="D110" s="21">
        <v>3.1141210595796665E-2</v>
      </c>
      <c r="E110" s="24">
        <v>1</v>
      </c>
      <c r="F110" s="21">
        <v>5.4291828366854533E-2</v>
      </c>
    </row>
    <row r="111" spans="2:6" ht="17" thickBot="1" x14ac:dyDescent="0.25">
      <c r="B111" s="19" t="s">
        <v>139</v>
      </c>
      <c r="C111" s="22">
        <v>0.8711314915971583</v>
      </c>
      <c r="D111" s="22">
        <v>0.86383174285472641</v>
      </c>
      <c r="E111" s="22">
        <v>5.4291828366854533E-2</v>
      </c>
      <c r="F111" s="25">
        <v>1</v>
      </c>
    </row>
    <row r="112" spans="2:6" x14ac:dyDescent="0.2">
      <c r="B112" s="3" t="s">
        <v>623</v>
      </c>
    </row>
    <row r="115" spans="2:6" x14ac:dyDescent="0.2">
      <c r="B115" s="3" t="s">
        <v>629</v>
      </c>
    </row>
    <row r="116" spans="2:6" ht="17" thickBot="1" x14ac:dyDescent="0.25"/>
    <row r="117" spans="2:6" x14ac:dyDescent="0.2">
      <c r="B117" s="16"/>
      <c r="C117" s="17" t="s">
        <v>463</v>
      </c>
      <c r="D117" s="17" t="s">
        <v>464</v>
      </c>
      <c r="E117" s="17" t="s">
        <v>465</v>
      </c>
      <c r="F117" s="17" t="s">
        <v>139</v>
      </c>
    </row>
    <row r="118" spans="2:6" x14ac:dyDescent="0.2">
      <c r="B118" s="18">
        <v>117.17</v>
      </c>
      <c r="C118" s="23">
        <v>1</v>
      </c>
      <c r="D118" s="20">
        <v>0.84451926747294004</v>
      </c>
      <c r="E118" s="20">
        <v>1</v>
      </c>
      <c r="F118" s="20">
        <v>0.54029137460741983</v>
      </c>
    </row>
    <row r="119" spans="2:6" x14ac:dyDescent="0.2">
      <c r="B119" s="15">
        <v>120.14</v>
      </c>
      <c r="C119" s="21">
        <v>0.84451926747294004</v>
      </c>
      <c r="D119" s="24">
        <v>1</v>
      </c>
      <c r="E119" s="21">
        <v>1</v>
      </c>
      <c r="F119" s="21">
        <v>0.50233495436050202</v>
      </c>
    </row>
    <row r="120" spans="2:6" x14ac:dyDescent="0.2">
      <c r="B120" s="15">
        <v>120.17</v>
      </c>
      <c r="C120" s="21">
        <v>1</v>
      </c>
      <c r="D120" s="21">
        <v>1</v>
      </c>
      <c r="E120" s="24">
        <v>1</v>
      </c>
      <c r="F120" s="21">
        <v>0.40424849473947111</v>
      </c>
    </row>
    <row r="121" spans="2:6" ht="17" thickBot="1" x14ac:dyDescent="0.25">
      <c r="B121" s="19" t="s">
        <v>139</v>
      </c>
      <c r="C121" s="22">
        <v>0.54029137460741983</v>
      </c>
      <c r="D121" s="22">
        <v>0.50233495436050202</v>
      </c>
      <c r="E121" s="22">
        <v>0.40424849473947111</v>
      </c>
      <c r="F121" s="25">
        <v>1</v>
      </c>
    </row>
    <row r="122" spans="2:6" x14ac:dyDescent="0.2">
      <c r="B122" s="3" t="s">
        <v>623</v>
      </c>
    </row>
    <row r="125" spans="2:6" x14ac:dyDescent="0.2">
      <c r="B125" s="3" t="s">
        <v>630</v>
      </c>
    </row>
    <row r="126" spans="2:6" ht="17" thickBot="1" x14ac:dyDescent="0.25"/>
    <row r="127" spans="2:6" x14ac:dyDescent="0.2">
      <c r="B127" s="16"/>
      <c r="C127" s="17" t="s">
        <v>463</v>
      </c>
      <c r="D127" s="17" t="s">
        <v>464</v>
      </c>
      <c r="E127" s="17" t="s">
        <v>465</v>
      </c>
      <c r="F127" s="17" t="s">
        <v>139</v>
      </c>
    </row>
    <row r="128" spans="2:6" x14ac:dyDescent="0.2">
      <c r="B128" s="18">
        <v>117.17</v>
      </c>
      <c r="C128" s="23">
        <v>1</v>
      </c>
      <c r="D128" s="20">
        <v>0.62762580502835941</v>
      </c>
      <c r="E128" s="20">
        <v>0.83117040954176247</v>
      </c>
      <c r="F128" s="20">
        <v>1</v>
      </c>
    </row>
    <row r="129" spans="2:6" x14ac:dyDescent="0.2">
      <c r="B129" s="15">
        <v>120.14</v>
      </c>
      <c r="C129" s="21">
        <v>0.62762580502835941</v>
      </c>
      <c r="D129" s="24">
        <v>1</v>
      </c>
      <c r="E129" s="21">
        <v>1</v>
      </c>
      <c r="F129" s="21">
        <v>0.82306327375812138</v>
      </c>
    </row>
    <row r="130" spans="2:6" x14ac:dyDescent="0.2">
      <c r="B130" s="15">
        <v>120.17</v>
      </c>
      <c r="C130" s="21">
        <v>0.83117040954176247</v>
      </c>
      <c r="D130" s="21">
        <v>1</v>
      </c>
      <c r="E130" s="24">
        <v>1</v>
      </c>
      <c r="F130" s="21">
        <v>1</v>
      </c>
    </row>
    <row r="131" spans="2:6" ht="17" thickBot="1" x14ac:dyDescent="0.25">
      <c r="B131" s="19" t="s">
        <v>139</v>
      </c>
      <c r="C131" s="22">
        <v>1</v>
      </c>
      <c r="D131" s="22">
        <v>0.82306327375812138</v>
      </c>
      <c r="E131" s="22">
        <v>1</v>
      </c>
      <c r="F131" s="25">
        <v>1</v>
      </c>
    </row>
    <row r="132" spans="2:6" x14ac:dyDescent="0.2">
      <c r="B132" s="3" t="s">
        <v>623</v>
      </c>
    </row>
    <row r="135" spans="2:6" x14ac:dyDescent="0.2">
      <c r="B135" s="3" t="s">
        <v>631</v>
      </c>
    </row>
    <row r="136" spans="2:6" ht="17" thickBot="1" x14ac:dyDescent="0.25"/>
    <row r="137" spans="2:6" x14ac:dyDescent="0.2">
      <c r="B137" s="16"/>
      <c r="C137" s="17" t="s">
        <v>463</v>
      </c>
      <c r="D137" s="17" t="s">
        <v>464</v>
      </c>
      <c r="E137" s="17" t="s">
        <v>465</v>
      </c>
      <c r="F137" s="17" t="s">
        <v>139</v>
      </c>
    </row>
    <row r="138" spans="2:6" x14ac:dyDescent="0.2">
      <c r="B138" s="18">
        <v>117.17</v>
      </c>
      <c r="C138" s="23">
        <v>1</v>
      </c>
      <c r="D138" s="20">
        <v>1</v>
      </c>
      <c r="E138" s="20">
        <v>0.54649359540658193</v>
      </c>
      <c r="F138" s="20">
        <v>0.77282999268444752</v>
      </c>
    </row>
    <row r="139" spans="2:6" x14ac:dyDescent="0.2">
      <c r="B139" s="15">
        <v>120.14</v>
      </c>
      <c r="C139" s="21">
        <v>1</v>
      </c>
      <c r="D139" s="24">
        <v>1</v>
      </c>
      <c r="E139" s="21">
        <v>0.34278171114791145</v>
      </c>
      <c r="F139" s="21">
        <v>1</v>
      </c>
    </row>
    <row r="140" spans="2:6" x14ac:dyDescent="0.2">
      <c r="B140" s="15">
        <v>120.17</v>
      </c>
      <c r="C140" s="21">
        <v>0.54649359540658193</v>
      </c>
      <c r="D140" s="21">
        <v>0.34278171114791145</v>
      </c>
      <c r="E140" s="24">
        <v>1</v>
      </c>
      <c r="F140" s="21">
        <v>0.50498507509384583</v>
      </c>
    </row>
    <row r="141" spans="2:6" ht="17" thickBot="1" x14ac:dyDescent="0.25">
      <c r="B141" s="19" t="s">
        <v>139</v>
      </c>
      <c r="C141" s="22">
        <v>0.77282999268444752</v>
      </c>
      <c r="D141" s="22">
        <v>1</v>
      </c>
      <c r="E141" s="22">
        <v>0.50498507509384583</v>
      </c>
      <c r="F141" s="25">
        <v>1</v>
      </c>
    </row>
    <row r="142" spans="2:6" x14ac:dyDescent="0.2">
      <c r="B142" s="3" t="s">
        <v>623</v>
      </c>
    </row>
    <row r="145" spans="2:6" x14ac:dyDescent="0.2">
      <c r="B145" s="3" t="s">
        <v>632</v>
      </c>
    </row>
    <row r="146" spans="2:6" ht="17" thickBot="1" x14ac:dyDescent="0.25"/>
    <row r="147" spans="2:6" x14ac:dyDescent="0.2">
      <c r="B147" s="16"/>
      <c r="C147" s="17" t="s">
        <v>463</v>
      </c>
      <c r="D147" s="17" t="s">
        <v>464</v>
      </c>
      <c r="E147" s="17" t="s">
        <v>465</v>
      </c>
      <c r="F147" s="17" t="s">
        <v>139</v>
      </c>
    </row>
    <row r="148" spans="2:6" x14ac:dyDescent="0.2">
      <c r="B148" s="18">
        <v>117.17</v>
      </c>
      <c r="C148" s="23">
        <v>1</v>
      </c>
      <c r="D148" s="20">
        <v>0.82306327375812138</v>
      </c>
      <c r="E148" s="20">
        <v>0.62762580502835941</v>
      </c>
      <c r="F148" s="20">
        <v>0.60557661633534643</v>
      </c>
    </row>
    <row r="149" spans="2:6" x14ac:dyDescent="0.2">
      <c r="B149" s="15">
        <v>120.14</v>
      </c>
      <c r="C149" s="21">
        <v>0.82306327375812138</v>
      </c>
      <c r="D149" s="24">
        <v>1</v>
      </c>
      <c r="E149" s="21">
        <v>0.33197546708273684</v>
      </c>
      <c r="F149" s="21">
        <v>0.26725749315438785</v>
      </c>
    </row>
    <row r="150" spans="2:6" x14ac:dyDescent="0.2">
      <c r="B150" s="15">
        <v>120.17</v>
      </c>
      <c r="C150" s="21">
        <v>0.62762580502835941</v>
      </c>
      <c r="D150" s="21">
        <v>0.33197546708273684</v>
      </c>
      <c r="E150" s="24">
        <v>1</v>
      </c>
      <c r="F150" s="21">
        <v>0.77282999268444752</v>
      </c>
    </row>
    <row r="151" spans="2:6" ht="17" thickBot="1" x14ac:dyDescent="0.25">
      <c r="B151" s="19" t="s">
        <v>139</v>
      </c>
      <c r="C151" s="22">
        <v>0.60557661633534643</v>
      </c>
      <c r="D151" s="22">
        <v>0.26725749315438785</v>
      </c>
      <c r="E151" s="22">
        <v>0.77282999268444752</v>
      </c>
      <c r="F151" s="25">
        <v>1</v>
      </c>
    </row>
    <row r="152" spans="2:6" x14ac:dyDescent="0.2">
      <c r="B152" s="3" t="s">
        <v>623</v>
      </c>
    </row>
    <row r="155" spans="2:6" x14ac:dyDescent="0.2">
      <c r="B155" s="3" t="s">
        <v>633</v>
      </c>
    </row>
    <row r="156" spans="2:6" ht="17" thickBot="1" x14ac:dyDescent="0.25"/>
    <row r="157" spans="2:6" x14ac:dyDescent="0.2">
      <c r="B157" s="16"/>
      <c r="C157" s="17" t="s">
        <v>463</v>
      </c>
      <c r="D157" s="17" t="s">
        <v>464</v>
      </c>
      <c r="E157" s="17" t="s">
        <v>465</v>
      </c>
      <c r="F157" s="17" t="s">
        <v>139</v>
      </c>
    </row>
    <row r="158" spans="2:6" x14ac:dyDescent="0.2">
      <c r="B158" s="18">
        <v>117.17</v>
      </c>
      <c r="C158" s="23">
        <v>1</v>
      </c>
      <c r="D158" s="20">
        <v>1</v>
      </c>
      <c r="E158" s="20">
        <v>7.0440429272087934E-2</v>
      </c>
      <c r="F158" s="20">
        <v>0.26725749315438785</v>
      </c>
    </row>
    <row r="159" spans="2:6" x14ac:dyDescent="0.2">
      <c r="B159" s="15">
        <v>120.14</v>
      </c>
      <c r="C159" s="21">
        <v>1</v>
      </c>
      <c r="D159" s="24">
        <v>1</v>
      </c>
      <c r="E159" s="21">
        <v>6.1368829139402115E-2</v>
      </c>
      <c r="F159" s="21">
        <v>0.18144920772142026</v>
      </c>
    </row>
    <row r="160" spans="2:6" x14ac:dyDescent="0.2">
      <c r="B160" s="15">
        <v>120.17</v>
      </c>
      <c r="C160" s="21">
        <v>7.0440429272087934E-2</v>
      </c>
      <c r="D160" s="21">
        <v>6.1368829139402115E-2</v>
      </c>
      <c r="E160" s="24">
        <v>1</v>
      </c>
      <c r="F160" s="21">
        <v>0.81366371576679186</v>
      </c>
    </row>
    <row r="161" spans="2:6" ht="17" thickBot="1" x14ac:dyDescent="0.25">
      <c r="B161" s="19" t="s">
        <v>139</v>
      </c>
      <c r="C161" s="22">
        <v>0.26725749315438785</v>
      </c>
      <c r="D161" s="22">
        <v>0.18144920772142026</v>
      </c>
      <c r="E161" s="22">
        <v>0.81366371576679186</v>
      </c>
      <c r="F161" s="25">
        <v>1</v>
      </c>
    </row>
    <row r="162" spans="2:6" x14ac:dyDescent="0.2">
      <c r="B162" s="3" t="s">
        <v>623</v>
      </c>
    </row>
    <row r="165" spans="2:6" x14ac:dyDescent="0.2">
      <c r="B165" s="3" t="s">
        <v>634</v>
      </c>
    </row>
    <row r="166" spans="2:6" ht="17" thickBot="1" x14ac:dyDescent="0.25"/>
    <row r="167" spans="2:6" x14ac:dyDescent="0.2">
      <c r="B167" s="16"/>
      <c r="C167" s="17" t="s">
        <v>463</v>
      </c>
      <c r="D167" s="17" t="s">
        <v>464</v>
      </c>
      <c r="E167" s="17" t="s">
        <v>465</v>
      </c>
      <c r="F167" s="17" t="s">
        <v>139</v>
      </c>
    </row>
    <row r="168" spans="2:6" x14ac:dyDescent="0.2">
      <c r="B168" s="18">
        <v>117.17</v>
      </c>
      <c r="C168" s="23">
        <v>1</v>
      </c>
      <c r="D168" s="20">
        <v>0.85010673913852575</v>
      </c>
      <c r="E168" s="20">
        <v>0.85968379519866622</v>
      </c>
      <c r="F168" s="20">
        <v>1</v>
      </c>
    </row>
    <row r="169" spans="2:6" x14ac:dyDescent="0.2">
      <c r="B169" s="15">
        <v>120.14</v>
      </c>
      <c r="C169" s="21">
        <v>0.85010673913852575</v>
      </c>
      <c r="D169" s="24">
        <v>1</v>
      </c>
      <c r="E169" s="21">
        <v>0.85513214058470588</v>
      </c>
      <c r="F169" s="21">
        <v>1</v>
      </c>
    </row>
    <row r="170" spans="2:6" x14ac:dyDescent="0.2">
      <c r="B170" s="15">
        <v>120.17</v>
      </c>
      <c r="C170" s="21">
        <v>0.85968379519866622</v>
      </c>
      <c r="D170" s="21">
        <v>0.85513214058470588</v>
      </c>
      <c r="E170" s="24">
        <v>1</v>
      </c>
      <c r="F170" s="21">
        <v>1</v>
      </c>
    </row>
    <row r="171" spans="2:6" ht="17" thickBot="1" x14ac:dyDescent="0.25">
      <c r="B171" s="19" t="s">
        <v>139</v>
      </c>
      <c r="C171" s="22">
        <v>1</v>
      </c>
      <c r="D171" s="22">
        <v>1</v>
      </c>
      <c r="E171" s="22">
        <v>1</v>
      </c>
      <c r="F171" s="25">
        <v>1</v>
      </c>
    </row>
    <row r="172" spans="2:6" x14ac:dyDescent="0.2">
      <c r="B172" s="3" t="s">
        <v>623</v>
      </c>
    </row>
    <row r="175" spans="2:6" x14ac:dyDescent="0.2">
      <c r="B175" s="3" t="s">
        <v>635</v>
      </c>
    </row>
    <row r="176" spans="2:6" ht="17" thickBot="1" x14ac:dyDescent="0.25"/>
    <row r="177" spans="2:6" x14ac:dyDescent="0.2">
      <c r="B177" s="16"/>
      <c r="C177" s="17" t="s">
        <v>463</v>
      </c>
      <c r="D177" s="17" t="s">
        <v>464</v>
      </c>
      <c r="E177" s="17" t="s">
        <v>465</v>
      </c>
      <c r="F177" s="17" t="s">
        <v>139</v>
      </c>
    </row>
    <row r="178" spans="2:6" x14ac:dyDescent="0.2">
      <c r="B178" s="18">
        <v>117.17</v>
      </c>
      <c r="C178" s="23">
        <v>1</v>
      </c>
      <c r="D178" s="20">
        <v>0.75182963404584924</v>
      </c>
      <c r="E178" s="20">
        <v>1</v>
      </c>
      <c r="F178" s="20">
        <v>1</v>
      </c>
    </row>
    <row r="179" spans="2:6" x14ac:dyDescent="0.2">
      <c r="B179" s="15">
        <v>120.14</v>
      </c>
      <c r="C179" s="21">
        <v>0.75182963404584924</v>
      </c>
      <c r="D179" s="24">
        <v>1</v>
      </c>
      <c r="E179" s="21">
        <v>1</v>
      </c>
      <c r="F179" s="21">
        <v>1</v>
      </c>
    </row>
    <row r="180" spans="2:6" x14ac:dyDescent="0.2">
      <c r="B180" s="15">
        <v>120.17</v>
      </c>
      <c r="C180" s="21">
        <v>1</v>
      </c>
      <c r="D180" s="21">
        <v>1</v>
      </c>
      <c r="E180" s="24">
        <v>1</v>
      </c>
      <c r="F180" s="21">
        <v>0.78926802613428126</v>
      </c>
    </row>
    <row r="181" spans="2:6" ht="17" thickBot="1" x14ac:dyDescent="0.25">
      <c r="B181" s="19" t="s">
        <v>139</v>
      </c>
      <c r="C181" s="22">
        <v>1</v>
      </c>
      <c r="D181" s="22">
        <v>1</v>
      </c>
      <c r="E181" s="22">
        <v>0.78926802613428126</v>
      </c>
      <c r="F181" s="25">
        <v>1</v>
      </c>
    </row>
    <row r="182" spans="2:6" x14ac:dyDescent="0.2">
      <c r="B182" s="3" t="s">
        <v>623</v>
      </c>
    </row>
    <row r="185" spans="2:6" x14ac:dyDescent="0.2">
      <c r="B185" s="3" t="s">
        <v>636</v>
      </c>
    </row>
    <row r="186" spans="2:6" ht="17" thickBot="1" x14ac:dyDescent="0.25"/>
    <row r="187" spans="2:6" x14ac:dyDescent="0.2">
      <c r="B187" s="16"/>
      <c r="C187" s="17" t="s">
        <v>463</v>
      </c>
      <c r="D187" s="17" t="s">
        <v>464</v>
      </c>
      <c r="E187" s="17" t="s">
        <v>465</v>
      </c>
      <c r="F187" s="17" t="s">
        <v>139</v>
      </c>
    </row>
    <row r="188" spans="2:6" x14ac:dyDescent="0.2">
      <c r="B188" s="18">
        <v>117.17</v>
      </c>
      <c r="C188" s="23">
        <v>1</v>
      </c>
      <c r="D188" s="20">
        <v>0.34278171114791145</v>
      </c>
      <c r="E188" s="20">
        <v>0.34278171114791145</v>
      </c>
      <c r="F188" s="20">
        <v>1</v>
      </c>
    </row>
    <row r="189" spans="2:6" x14ac:dyDescent="0.2">
      <c r="B189" s="15">
        <v>120.14</v>
      </c>
      <c r="C189" s="21">
        <v>0.34278171114791145</v>
      </c>
      <c r="D189" s="24">
        <v>1</v>
      </c>
      <c r="E189" s="21">
        <v>0.7236736098317631</v>
      </c>
      <c r="F189" s="21">
        <v>0.54649359540658193</v>
      </c>
    </row>
    <row r="190" spans="2:6" x14ac:dyDescent="0.2">
      <c r="B190" s="15">
        <v>120.17</v>
      </c>
      <c r="C190" s="21">
        <v>0.34278171114791145</v>
      </c>
      <c r="D190" s="21">
        <v>0.7236736098317631</v>
      </c>
      <c r="E190" s="24">
        <v>1</v>
      </c>
      <c r="F190" s="21">
        <v>0.54649359540658193</v>
      </c>
    </row>
    <row r="191" spans="2:6" ht="17" thickBot="1" x14ac:dyDescent="0.25">
      <c r="B191" s="19" t="s">
        <v>139</v>
      </c>
      <c r="C191" s="22">
        <v>1</v>
      </c>
      <c r="D191" s="22">
        <v>0.54649359540658193</v>
      </c>
      <c r="E191" s="22">
        <v>0.54649359540658193</v>
      </c>
      <c r="F191" s="25">
        <v>1</v>
      </c>
    </row>
    <row r="192" spans="2:6" x14ac:dyDescent="0.2">
      <c r="B192" s="3" t="s">
        <v>623</v>
      </c>
    </row>
    <row r="195" spans="2:6" x14ac:dyDescent="0.2">
      <c r="B195" s="3" t="s">
        <v>637</v>
      </c>
    </row>
    <row r="196" spans="2:6" ht="17" thickBot="1" x14ac:dyDescent="0.25"/>
    <row r="197" spans="2:6" x14ac:dyDescent="0.2">
      <c r="B197" s="16"/>
      <c r="C197" s="17" t="s">
        <v>463</v>
      </c>
      <c r="D197" s="17" t="s">
        <v>464</v>
      </c>
      <c r="E197" s="17" t="s">
        <v>465</v>
      </c>
      <c r="F197" s="17" t="s">
        <v>139</v>
      </c>
    </row>
    <row r="198" spans="2:6" x14ac:dyDescent="0.2">
      <c r="B198" s="18">
        <v>117.17</v>
      </c>
      <c r="C198" s="23">
        <v>1</v>
      </c>
      <c r="D198" s="20">
        <v>0.77282999268444752</v>
      </c>
      <c r="E198" s="20">
        <v>0.7236736098317631</v>
      </c>
      <c r="F198" s="20">
        <v>1</v>
      </c>
    </row>
    <row r="199" spans="2:6" x14ac:dyDescent="0.2">
      <c r="B199" s="15">
        <v>120.14</v>
      </c>
      <c r="C199" s="21">
        <v>0.77282999268444752</v>
      </c>
      <c r="D199" s="24">
        <v>1</v>
      </c>
      <c r="E199" s="21">
        <v>0.2888443663464848</v>
      </c>
      <c r="F199" s="21">
        <v>1</v>
      </c>
    </row>
    <row r="200" spans="2:6" x14ac:dyDescent="0.2">
      <c r="B200" s="15">
        <v>120.17</v>
      </c>
      <c r="C200" s="21">
        <v>0.7236736098317631</v>
      </c>
      <c r="D200" s="21">
        <v>0.2888443663464848</v>
      </c>
      <c r="E200" s="24">
        <v>1</v>
      </c>
      <c r="F200" s="21">
        <v>0.50498507509384583</v>
      </c>
    </row>
    <row r="201" spans="2:6" ht="17" thickBot="1" x14ac:dyDescent="0.25">
      <c r="B201" s="19" t="s">
        <v>139</v>
      </c>
      <c r="C201" s="22">
        <v>1</v>
      </c>
      <c r="D201" s="22">
        <v>1</v>
      </c>
      <c r="E201" s="22">
        <v>0.50498507509384583</v>
      </c>
      <c r="F201" s="25">
        <v>1</v>
      </c>
    </row>
    <row r="202" spans="2:6" x14ac:dyDescent="0.2">
      <c r="B202" s="3" t="s">
        <v>623</v>
      </c>
    </row>
    <row r="205" spans="2:6" x14ac:dyDescent="0.2">
      <c r="B205" s="3" t="s">
        <v>638</v>
      </c>
    </row>
    <row r="206" spans="2:6" ht="17" thickBot="1" x14ac:dyDescent="0.25"/>
    <row r="207" spans="2:6" x14ac:dyDescent="0.2">
      <c r="B207" s="16"/>
      <c r="C207" s="17" t="s">
        <v>463</v>
      </c>
      <c r="D207" s="17" t="s">
        <v>464</v>
      </c>
      <c r="E207" s="17" t="s">
        <v>465</v>
      </c>
      <c r="F207" s="17" t="s">
        <v>139</v>
      </c>
    </row>
    <row r="208" spans="2:6" x14ac:dyDescent="0.2">
      <c r="B208" s="18">
        <v>117.17</v>
      </c>
      <c r="C208" s="23">
        <v>1</v>
      </c>
      <c r="D208" s="20">
        <v>0.18144920772142026</v>
      </c>
      <c r="E208" s="20">
        <v>9.3747684594349678E-3</v>
      </c>
      <c r="F208" s="20">
        <v>0.47950012218695348</v>
      </c>
    </row>
    <row r="209" spans="2:18" x14ac:dyDescent="0.2">
      <c r="B209" s="15">
        <v>120.14</v>
      </c>
      <c r="C209" s="21">
        <v>0.18144920772142026</v>
      </c>
      <c r="D209" s="24">
        <v>1</v>
      </c>
      <c r="E209" s="21">
        <v>0.13361440253771617</v>
      </c>
      <c r="F209" s="21">
        <v>0.77282999268444752</v>
      </c>
    </row>
    <row r="210" spans="2:18" x14ac:dyDescent="0.2">
      <c r="B210" s="15">
        <v>120.17</v>
      </c>
      <c r="C210" s="21">
        <v>9.3747684594349678E-3</v>
      </c>
      <c r="D210" s="21">
        <v>0.13361440253771617</v>
      </c>
      <c r="E210" s="24">
        <v>1</v>
      </c>
      <c r="F210" s="21">
        <v>7.7099871743541826E-2</v>
      </c>
    </row>
    <row r="211" spans="2:18" ht="17" thickBot="1" x14ac:dyDescent="0.25">
      <c r="B211" s="19" t="s">
        <v>139</v>
      </c>
      <c r="C211" s="22">
        <v>0.47950012218695348</v>
      </c>
      <c r="D211" s="22">
        <v>0.77282999268444752</v>
      </c>
      <c r="E211" s="22">
        <v>7.7099871743541826E-2</v>
      </c>
      <c r="F211" s="25">
        <v>1</v>
      </c>
    </row>
    <row r="212" spans="2:18" x14ac:dyDescent="0.2">
      <c r="B212" s="3" t="s">
        <v>623</v>
      </c>
    </row>
    <row r="215" spans="2:18" x14ac:dyDescent="0.2">
      <c r="B215" s="3" t="s">
        <v>501</v>
      </c>
    </row>
    <row r="216" spans="2:18" ht="17" thickBot="1" x14ac:dyDescent="0.25"/>
    <row r="217" spans="2:18" ht="32" customHeight="1" x14ac:dyDescent="0.2">
      <c r="B217" s="5" t="s">
        <v>502</v>
      </c>
      <c r="C217" s="6" t="s">
        <v>5</v>
      </c>
      <c r="D217" s="6" t="s">
        <v>190</v>
      </c>
      <c r="E217" s="6" t="s">
        <v>9</v>
      </c>
      <c r="F217" s="6" t="s">
        <v>10</v>
      </c>
      <c r="G217" s="6" t="s">
        <v>23</v>
      </c>
      <c r="H217" s="6" t="s">
        <v>24</v>
      </c>
      <c r="I217" s="6" t="s">
        <v>26</v>
      </c>
      <c r="J217" s="6" t="s">
        <v>32</v>
      </c>
      <c r="K217" s="6" t="s">
        <v>37</v>
      </c>
      <c r="L217" s="6" t="s">
        <v>44</v>
      </c>
      <c r="M217" s="6" t="s">
        <v>51</v>
      </c>
      <c r="N217" s="6" t="s">
        <v>58</v>
      </c>
      <c r="O217" s="6" t="s">
        <v>64</v>
      </c>
      <c r="P217" s="6" t="s">
        <v>84</v>
      </c>
      <c r="Q217" s="6" t="s">
        <v>99</v>
      </c>
      <c r="R217" s="6" t="s">
        <v>134</v>
      </c>
    </row>
    <row r="218" spans="2:18" x14ac:dyDescent="0.2">
      <c r="B218" s="7" t="s">
        <v>463</v>
      </c>
      <c r="C218" s="23">
        <v>7</v>
      </c>
      <c r="D218" s="23">
        <v>10</v>
      </c>
      <c r="E218" s="23">
        <v>29</v>
      </c>
      <c r="F218" s="23">
        <v>9</v>
      </c>
      <c r="G218" s="23">
        <v>19</v>
      </c>
      <c r="H218" s="23">
        <v>25</v>
      </c>
      <c r="I218" s="23">
        <v>16</v>
      </c>
      <c r="J218" s="23">
        <v>13</v>
      </c>
      <c r="K218" s="23">
        <v>8</v>
      </c>
      <c r="L218" s="23">
        <v>10</v>
      </c>
      <c r="M218" s="23">
        <v>5</v>
      </c>
      <c r="N218" s="23">
        <v>19</v>
      </c>
      <c r="O218" s="23">
        <v>7</v>
      </c>
      <c r="P218" s="23">
        <v>8</v>
      </c>
      <c r="Q218" s="23">
        <v>5</v>
      </c>
      <c r="R218" s="23">
        <v>11</v>
      </c>
    </row>
    <row r="219" spans="2:18" x14ac:dyDescent="0.2">
      <c r="B219" s="4" t="s">
        <v>464</v>
      </c>
      <c r="C219" s="24">
        <v>8</v>
      </c>
      <c r="D219" s="24">
        <v>19</v>
      </c>
      <c r="E219" s="24">
        <v>35</v>
      </c>
      <c r="F219" s="24">
        <v>4</v>
      </c>
      <c r="G219" s="24">
        <v>4</v>
      </c>
      <c r="H219" s="24">
        <v>27</v>
      </c>
      <c r="I219" s="24">
        <v>16</v>
      </c>
      <c r="J219" s="24">
        <v>16</v>
      </c>
      <c r="K219" s="24">
        <v>9</v>
      </c>
      <c r="L219" s="24">
        <v>12</v>
      </c>
      <c r="M219" s="24">
        <v>4</v>
      </c>
      <c r="N219" s="24">
        <v>21</v>
      </c>
      <c r="O219" s="24">
        <v>7</v>
      </c>
      <c r="P219" s="24">
        <v>4</v>
      </c>
      <c r="Q219" s="24">
        <v>7</v>
      </c>
      <c r="R219" s="24">
        <v>5</v>
      </c>
    </row>
    <row r="220" spans="2:18" x14ac:dyDescent="0.2">
      <c r="B220" s="4" t="s">
        <v>465</v>
      </c>
      <c r="C220" s="24">
        <v>4</v>
      </c>
      <c r="D220" s="24">
        <v>18</v>
      </c>
      <c r="E220" s="24">
        <v>37</v>
      </c>
      <c r="F220" s="24">
        <v>7</v>
      </c>
      <c r="G220" s="24">
        <v>9</v>
      </c>
      <c r="H220" s="24">
        <v>14</v>
      </c>
      <c r="I220" s="24">
        <v>17</v>
      </c>
      <c r="J220" s="24">
        <v>15</v>
      </c>
      <c r="K220" s="24">
        <v>5</v>
      </c>
      <c r="L220" s="24">
        <v>7</v>
      </c>
      <c r="M220" s="24">
        <v>12</v>
      </c>
      <c r="N220" s="24">
        <v>21</v>
      </c>
      <c r="O220" s="24">
        <v>8</v>
      </c>
      <c r="P220" s="24">
        <v>4</v>
      </c>
      <c r="Q220" s="24">
        <v>3</v>
      </c>
      <c r="R220" s="24">
        <v>1</v>
      </c>
    </row>
    <row r="221" spans="2:18" ht="17" thickBot="1" x14ac:dyDescent="0.25">
      <c r="B221" s="8" t="s">
        <v>139</v>
      </c>
      <c r="C221" s="25">
        <v>8</v>
      </c>
      <c r="D221" s="25">
        <v>14</v>
      </c>
      <c r="E221" s="25">
        <v>39</v>
      </c>
      <c r="F221" s="25">
        <v>4</v>
      </c>
      <c r="G221" s="25">
        <v>9</v>
      </c>
      <c r="H221" s="25">
        <v>25</v>
      </c>
      <c r="I221" s="25">
        <v>12</v>
      </c>
      <c r="J221" s="25">
        <v>14</v>
      </c>
      <c r="K221" s="25">
        <v>8</v>
      </c>
      <c r="L221" s="25">
        <v>7</v>
      </c>
      <c r="M221" s="25">
        <v>10</v>
      </c>
      <c r="N221" s="25">
        <v>20</v>
      </c>
      <c r="O221" s="25">
        <v>8</v>
      </c>
      <c r="P221" s="25">
        <v>7</v>
      </c>
      <c r="Q221" s="25">
        <v>6</v>
      </c>
      <c r="R221" s="25">
        <v>7</v>
      </c>
    </row>
    <row r="224" spans="2:18" x14ac:dyDescent="0.2">
      <c r="B224" s="3" t="s">
        <v>503</v>
      </c>
    </row>
    <row r="225" spans="2:10" ht="17" thickBot="1" x14ac:dyDescent="0.25"/>
    <row r="226" spans="2:10" x14ac:dyDescent="0.2">
      <c r="B226" s="26" t="s">
        <v>504</v>
      </c>
      <c r="C226" s="27">
        <v>47.843053504018748</v>
      </c>
    </row>
    <row r="227" spans="2:10" x14ac:dyDescent="0.2">
      <c r="B227" s="15" t="s">
        <v>505</v>
      </c>
      <c r="C227" s="13">
        <v>61.656233376283836</v>
      </c>
    </row>
    <row r="228" spans="2:10" x14ac:dyDescent="0.2">
      <c r="B228" s="15" t="s">
        <v>506</v>
      </c>
      <c r="C228" s="28">
        <v>45</v>
      </c>
    </row>
    <row r="229" spans="2:10" x14ac:dyDescent="0.2">
      <c r="B229" s="15" t="s">
        <v>507</v>
      </c>
      <c r="C229" s="13">
        <v>0.35808544443561441</v>
      </c>
    </row>
    <row r="230" spans="2:10" ht="17" thickBot="1" x14ac:dyDescent="0.25">
      <c r="B230" s="19" t="s">
        <v>508</v>
      </c>
      <c r="C230" s="29">
        <v>0.05</v>
      </c>
    </row>
    <row r="232" spans="2:10" x14ac:dyDescent="0.2">
      <c r="B232" s="3" t="s">
        <v>509</v>
      </c>
    </row>
    <row r="233" spans="2:10" x14ac:dyDescent="0.2">
      <c r="B233" s="3" t="s">
        <v>510</v>
      </c>
    </row>
    <row r="234" spans="2:10" x14ac:dyDescent="0.2">
      <c r="B234" s="3" t="s">
        <v>511</v>
      </c>
    </row>
    <row r="235" spans="2:10" ht="16" customHeight="1" x14ac:dyDescent="0.2">
      <c r="B235" s="46" t="s">
        <v>512</v>
      </c>
      <c r="C235" s="46"/>
      <c r="D235" s="46"/>
      <c r="E235" s="46"/>
      <c r="F235" s="46"/>
      <c r="G235" s="46"/>
      <c r="H235" s="46"/>
      <c r="I235" s="46"/>
      <c r="J235" s="46"/>
    </row>
    <row r="236" spans="2:10" x14ac:dyDescent="0.2">
      <c r="B236" s="46"/>
      <c r="C236" s="46"/>
      <c r="D236" s="46"/>
      <c r="E236" s="46"/>
      <c r="F236" s="46"/>
      <c r="G236" s="46"/>
      <c r="H236" s="46"/>
      <c r="I236" s="46"/>
      <c r="J236" s="46"/>
    </row>
    <row r="239" spans="2:10" x14ac:dyDescent="0.2">
      <c r="B239" s="3" t="s">
        <v>513</v>
      </c>
    </row>
    <row r="240" spans="2:10" ht="17" thickBot="1" x14ac:dyDescent="0.25"/>
    <row r="241" spans="2:5" ht="17" x14ac:dyDescent="0.2">
      <c r="B241" s="5"/>
      <c r="C241" s="6" t="s">
        <v>514</v>
      </c>
      <c r="D241" s="6" t="s">
        <v>515</v>
      </c>
      <c r="E241" s="6" t="s">
        <v>516</v>
      </c>
    </row>
    <row r="242" spans="2:5" x14ac:dyDescent="0.2">
      <c r="B242" s="7" t="s">
        <v>517</v>
      </c>
      <c r="C242" s="20">
        <v>3.4075070253431129E-2</v>
      </c>
      <c r="D242" s="20">
        <v>2.0433450954163091E-2</v>
      </c>
      <c r="E242" s="20">
        <v>6.9074653187456061E-3</v>
      </c>
    </row>
    <row r="243" spans="2:5" x14ac:dyDescent="0.2">
      <c r="B243" s="4" t="s">
        <v>518</v>
      </c>
      <c r="C243" s="21">
        <v>55.482411308034848</v>
      </c>
      <c r="D243" s="21">
        <v>33.270573526323929</v>
      </c>
      <c r="E243" s="21">
        <v>11.247015165641214</v>
      </c>
    </row>
    <row r="244" spans="2:5" ht="17" thickBot="1" x14ac:dyDescent="0.25">
      <c r="B244" s="8" t="s">
        <v>519</v>
      </c>
      <c r="C244" s="22">
        <v>55.482411308034848</v>
      </c>
      <c r="D244" s="22">
        <v>88.752984834358784</v>
      </c>
      <c r="E244" s="22">
        <v>100</v>
      </c>
    </row>
    <row r="262" spans="6:6" x14ac:dyDescent="0.2">
      <c r="F262" t="s">
        <v>520</v>
      </c>
    </row>
    <row r="280" spans="2:19" x14ac:dyDescent="0.2">
      <c r="F280" t="s">
        <v>520</v>
      </c>
    </row>
    <row r="283" spans="2:19" x14ac:dyDescent="0.2">
      <c r="B283" s="1" t="s">
        <v>521</v>
      </c>
    </row>
    <row r="285" spans="2:19" x14ac:dyDescent="0.2">
      <c r="B285" s="3" t="s">
        <v>522</v>
      </c>
    </row>
    <row r="286" spans="2:19" ht="17" thickBot="1" x14ac:dyDescent="0.25"/>
    <row r="287" spans="2:19" ht="32" customHeight="1" x14ac:dyDescent="0.2">
      <c r="B287" s="5"/>
      <c r="C287" s="6" t="s">
        <v>5</v>
      </c>
      <c r="D287" s="6" t="s">
        <v>190</v>
      </c>
      <c r="E287" s="6" t="s">
        <v>9</v>
      </c>
      <c r="F287" s="6" t="s">
        <v>10</v>
      </c>
      <c r="G287" s="6" t="s">
        <v>23</v>
      </c>
      <c r="H287" s="6" t="s">
        <v>24</v>
      </c>
      <c r="I287" s="6" t="s">
        <v>26</v>
      </c>
      <c r="J287" s="6" t="s">
        <v>32</v>
      </c>
      <c r="K287" s="6" t="s">
        <v>37</v>
      </c>
      <c r="L287" s="6" t="s">
        <v>44</v>
      </c>
      <c r="M287" s="6" t="s">
        <v>51</v>
      </c>
      <c r="N287" s="6" t="s">
        <v>58</v>
      </c>
      <c r="O287" s="6" t="s">
        <v>64</v>
      </c>
      <c r="P287" s="6" t="s">
        <v>84</v>
      </c>
      <c r="Q287" s="6" t="s">
        <v>99</v>
      </c>
      <c r="R287" s="6" t="s">
        <v>134</v>
      </c>
      <c r="S287" s="30"/>
    </row>
    <row r="288" spans="2:19" x14ac:dyDescent="0.2">
      <c r="B288" s="7" t="s">
        <v>5</v>
      </c>
      <c r="C288" s="32">
        <v>1</v>
      </c>
      <c r="D288" s="20">
        <v>0.16334799999999999</v>
      </c>
      <c r="E288" s="20">
        <v>-4.8651E-2</v>
      </c>
      <c r="F288" s="20">
        <v>0.13355400000000001</v>
      </c>
      <c r="G288" s="20">
        <v>0.27982299999999999</v>
      </c>
      <c r="H288" s="20">
        <v>0.269264</v>
      </c>
      <c r="I288" s="20">
        <v>0.16334799999999999</v>
      </c>
      <c r="J288" s="20">
        <v>-0.81450800000000001</v>
      </c>
      <c r="K288" s="20">
        <v>-0.77208399999999999</v>
      </c>
      <c r="L288" s="20">
        <v>0.14626700000000001</v>
      </c>
      <c r="M288" s="20">
        <v>6.9887000000000005E-2</v>
      </c>
      <c r="N288" s="20">
        <v>-0.18095800000000001</v>
      </c>
      <c r="O288" s="20">
        <v>-8.5167999999999994E-2</v>
      </c>
      <c r="P288" s="20">
        <v>0.14408599999999999</v>
      </c>
      <c r="Q288" s="20">
        <v>-0.75120100000000001</v>
      </c>
      <c r="R288" s="20">
        <v>0.13355400000000001</v>
      </c>
      <c r="S288" s="30"/>
    </row>
    <row r="289" spans="2:19" x14ac:dyDescent="0.2">
      <c r="B289" s="4" t="s">
        <v>190</v>
      </c>
      <c r="C289" s="21">
        <v>0.16334799999999999</v>
      </c>
      <c r="D289" s="34">
        <v>1</v>
      </c>
      <c r="E289" s="21">
        <v>-1.4208E-2</v>
      </c>
      <c r="F289" s="21">
        <v>3.4942000000000001E-2</v>
      </c>
      <c r="G289" s="21">
        <v>-0.21193899999999999</v>
      </c>
      <c r="H289" s="21">
        <v>-0.17553299999999999</v>
      </c>
      <c r="I289" s="21">
        <v>0.39682400000000001</v>
      </c>
      <c r="J289" s="21">
        <v>-7.9183000000000003E-2</v>
      </c>
      <c r="K289" s="21">
        <v>-0.823959</v>
      </c>
      <c r="L289" s="21">
        <v>1.639E-3</v>
      </c>
      <c r="M289" s="21">
        <v>4.6635999999999997E-2</v>
      </c>
      <c r="N289" s="21">
        <v>4.2666999999999997E-2</v>
      </c>
      <c r="O289" s="21">
        <v>-0.13122400000000001</v>
      </c>
      <c r="P289" s="21">
        <v>-6.2490999999999998E-2</v>
      </c>
      <c r="Q289" s="21">
        <v>0.16469</v>
      </c>
      <c r="R289" s="21">
        <v>3.4942000000000001E-2</v>
      </c>
      <c r="S289" s="30"/>
    </row>
    <row r="290" spans="2:19" x14ac:dyDescent="0.2">
      <c r="B290" s="4" t="s">
        <v>9</v>
      </c>
      <c r="C290" s="21">
        <v>-4.8651E-2</v>
      </c>
      <c r="D290" s="21">
        <v>-1.4208E-2</v>
      </c>
      <c r="E290" s="34">
        <v>1</v>
      </c>
      <c r="F290" s="21">
        <v>-0.87467499999999998</v>
      </c>
      <c r="G290" s="21">
        <v>-5.7943000000000001E-2</v>
      </c>
      <c r="H290" s="21">
        <v>-0.30716700000000002</v>
      </c>
      <c r="I290" s="21">
        <v>-4.4939E-2</v>
      </c>
      <c r="J290" s="21">
        <v>8.9800000000000001E-3</v>
      </c>
      <c r="K290" s="21">
        <v>6.8949999999999997E-2</v>
      </c>
      <c r="L290" s="21">
        <v>-0.266679</v>
      </c>
      <c r="M290" s="21">
        <v>-9.8408999999999996E-2</v>
      </c>
      <c r="N290" s="21">
        <v>-3.8525999999999998E-2</v>
      </c>
      <c r="O290" s="21">
        <v>0.115854</v>
      </c>
      <c r="P290" s="21">
        <v>-0.12592300000000001</v>
      </c>
      <c r="Q290" s="21">
        <v>-0.27659299999999998</v>
      </c>
      <c r="R290" s="21">
        <v>-0.13963</v>
      </c>
      <c r="S290" s="30"/>
    </row>
    <row r="291" spans="2:19" x14ac:dyDescent="0.2">
      <c r="B291" s="4" t="s">
        <v>10</v>
      </c>
      <c r="C291" s="21">
        <v>0.13355400000000001</v>
      </c>
      <c r="D291" s="21">
        <v>3.4942000000000001E-2</v>
      </c>
      <c r="E291" s="21">
        <v>-0.87467499999999998</v>
      </c>
      <c r="F291" s="34">
        <v>1</v>
      </c>
      <c r="G291" s="21">
        <v>2.9328E-2</v>
      </c>
      <c r="H291" s="21">
        <v>0.14447699999999999</v>
      </c>
      <c r="I291" s="21">
        <v>3.4942000000000001E-2</v>
      </c>
      <c r="J291" s="21">
        <v>0.13857</v>
      </c>
      <c r="K291" s="21">
        <v>0.107534</v>
      </c>
      <c r="L291" s="21">
        <v>0.17824899999999999</v>
      </c>
      <c r="M291" s="21">
        <v>9.9404999999999993E-2</v>
      </c>
      <c r="N291" s="21">
        <v>0.11457100000000001</v>
      </c>
      <c r="O291" s="21">
        <v>0.107534</v>
      </c>
      <c r="P291" s="21">
        <v>-9.9999999999999995E-7</v>
      </c>
      <c r="Q291" s="21">
        <v>0.19514500000000001</v>
      </c>
      <c r="R291" s="21">
        <v>-9.3959999999999998E-3</v>
      </c>
      <c r="S291" s="30"/>
    </row>
    <row r="292" spans="2:19" x14ac:dyDescent="0.2">
      <c r="B292" s="4" t="s">
        <v>23</v>
      </c>
      <c r="C292" s="21">
        <v>0.27982299999999999</v>
      </c>
      <c r="D292" s="21">
        <v>-0.21193899999999999</v>
      </c>
      <c r="E292" s="21">
        <v>-5.7943000000000001E-2</v>
      </c>
      <c r="F292" s="21">
        <v>2.9328E-2</v>
      </c>
      <c r="G292" s="34">
        <v>1</v>
      </c>
      <c r="H292" s="21">
        <v>-9.8226999999999995E-2</v>
      </c>
      <c r="I292" s="21">
        <v>9.2725000000000002E-2</v>
      </c>
      <c r="J292" s="21">
        <v>4.7029000000000001E-2</v>
      </c>
      <c r="K292" s="21">
        <v>8.2284999999999997E-2</v>
      </c>
      <c r="L292" s="21">
        <v>0.11869399999999999</v>
      </c>
      <c r="M292" s="21">
        <v>-0.79965299999999995</v>
      </c>
      <c r="N292" s="21">
        <v>-0.124988</v>
      </c>
      <c r="O292" s="21">
        <v>0.17164199999999999</v>
      </c>
      <c r="P292" s="21">
        <v>4.0174000000000001E-2</v>
      </c>
      <c r="Q292" s="21">
        <v>-9.9555000000000005E-2</v>
      </c>
      <c r="R292" s="21">
        <v>0.14366899999999999</v>
      </c>
      <c r="S292" s="30"/>
    </row>
    <row r="293" spans="2:19" x14ac:dyDescent="0.2">
      <c r="B293" s="4" t="s">
        <v>24</v>
      </c>
      <c r="C293" s="21">
        <v>0.269264</v>
      </c>
      <c r="D293" s="21">
        <v>-0.17553299999999999</v>
      </c>
      <c r="E293" s="21">
        <v>-0.30716700000000002</v>
      </c>
      <c r="F293" s="21">
        <v>0.14447699999999999</v>
      </c>
      <c r="G293" s="21">
        <v>-9.8226999999999995E-2</v>
      </c>
      <c r="H293" s="34">
        <v>1</v>
      </c>
      <c r="I293" s="21">
        <v>-4.1929000000000001E-2</v>
      </c>
      <c r="J293" s="21">
        <v>-6.5285999999999997E-2</v>
      </c>
      <c r="K293" s="21">
        <v>6.6419000000000006E-2</v>
      </c>
      <c r="L293" s="21">
        <v>0.15771499999999999</v>
      </c>
      <c r="M293" s="21">
        <v>5.5086999999999997E-2</v>
      </c>
      <c r="N293" s="21">
        <v>2.0341999999999999E-2</v>
      </c>
      <c r="O293" s="21">
        <v>3.591E-3</v>
      </c>
      <c r="P293" s="21">
        <v>-6.8911E-2</v>
      </c>
      <c r="Q293" s="21">
        <v>-0.14802799999999999</v>
      </c>
      <c r="R293" s="21">
        <v>0.26280100000000001</v>
      </c>
      <c r="S293" s="30"/>
    </row>
    <row r="294" spans="2:19" x14ac:dyDescent="0.2">
      <c r="B294" s="4" t="s">
        <v>26</v>
      </c>
      <c r="C294" s="21">
        <v>0.16334799999999999</v>
      </c>
      <c r="D294" s="21">
        <v>0.39682400000000001</v>
      </c>
      <c r="E294" s="21">
        <v>-4.4939E-2</v>
      </c>
      <c r="F294" s="21">
        <v>3.4942000000000001E-2</v>
      </c>
      <c r="G294" s="21">
        <v>9.2725000000000002E-2</v>
      </c>
      <c r="H294" s="21">
        <v>-4.1929000000000001E-2</v>
      </c>
      <c r="I294" s="34">
        <v>1</v>
      </c>
      <c r="J294" s="21">
        <v>-2.1981000000000001E-2</v>
      </c>
      <c r="K294" s="21">
        <v>5.6512E-2</v>
      </c>
      <c r="L294" s="21">
        <v>0.19289300000000001</v>
      </c>
      <c r="M294" s="21">
        <v>0.11955399999999999</v>
      </c>
      <c r="N294" s="21">
        <v>0.22093399999999999</v>
      </c>
      <c r="O294" s="21">
        <v>-2.8249E-2</v>
      </c>
      <c r="P294" s="21">
        <v>-0.21227099999999999</v>
      </c>
      <c r="Q294" s="21">
        <v>7.3001999999999997E-2</v>
      </c>
      <c r="R294" s="21">
        <v>-0.22176399999999999</v>
      </c>
      <c r="S294" s="30"/>
    </row>
    <row r="295" spans="2:19" x14ac:dyDescent="0.2">
      <c r="B295" s="4" t="s">
        <v>32</v>
      </c>
      <c r="C295" s="21">
        <v>-0.81450800000000001</v>
      </c>
      <c r="D295" s="21">
        <v>-7.9183000000000003E-2</v>
      </c>
      <c r="E295" s="21">
        <v>8.9800000000000001E-3</v>
      </c>
      <c r="F295" s="21">
        <v>0.13857</v>
      </c>
      <c r="G295" s="21">
        <v>4.7029000000000001E-2</v>
      </c>
      <c r="H295" s="21">
        <v>-6.5285999999999997E-2</v>
      </c>
      <c r="I295" s="21">
        <v>-2.1981000000000001E-2</v>
      </c>
      <c r="J295" s="34">
        <v>1</v>
      </c>
      <c r="K295" s="21">
        <v>0.99868400000000002</v>
      </c>
      <c r="L295" s="21">
        <v>-6.5313999999999997E-2</v>
      </c>
      <c r="M295" s="21">
        <v>-2.3185000000000001E-2</v>
      </c>
      <c r="N295" s="21">
        <v>-0.17161899999999999</v>
      </c>
      <c r="O295" s="21">
        <v>-0.11783</v>
      </c>
      <c r="P295" s="21">
        <v>-0.20031499999999999</v>
      </c>
      <c r="Q295" s="21">
        <v>-2.5583999999999999E-2</v>
      </c>
      <c r="R295" s="21">
        <v>-0.80789699999999998</v>
      </c>
      <c r="S295" s="30"/>
    </row>
    <row r="296" spans="2:19" x14ac:dyDescent="0.2">
      <c r="B296" s="4" t="s">
        <v>37</v>
      </c>
      <c r="C296" s="21">
        <v>-0.77208399999999999</v>
      </c>
      <c r="D296" s="21">
        <v>-0.823959</v>
      </c>
      <c r="E296" s="21">
        <v>6.8949999999999997E-2</v>
      </c>
      <c r="F296" s="21">
        <v>0.107534</v>
      </c>
      <c r="G296" s="21">
        <v>8.2284999999999997E-2</v>
      </c>
      <c r="H296" s="21">
        <v>6.6419000000000006E-2</v>
      </c>
      <c r="I296" s="21">
        <v>5.6512E-2</v>
      </c>
      <c r="J296" s="21">
        <v>0.99868400000000002</v>
      </c>
      <c r="K296" s="34">
        <v>1</v>
      </c>
      <c r="L296" s="21">
        <v>-0.14976700000000001</v>
      </c>
      <c r="M296" s="21">
        <v>-0.116081</v>
      </c>
      <c r="N296" s="21">
        <v>-2.9510000000000002E-2</v>
      </c>
      <c r="O296" s="21">
        <v>-0.108727</v>
      </c>
      <c r="P296" s="21">
        <v>-4.9475999999999999E-2</v>
      </c>
      <c r="Q296" s="21">
        <v>-0.75756699999999999</v>
      </c>
      <c r="R296" s="21">
        <v>-0.76519999999999999</v>
      </c>
      <c r="S296" s="30"/>
    </row>
    <row r="297" spans="2:19" x14ac:dyDescent="0.2">
      <c r="B297" s="4" t="s">
        <v>44</v>
      </c>
      <c r="C297" s="21">
        <v>0.14626700000000001</v>
      </c>
      <c r="D297" s="21">
        <v>1.639E-3</v>
      </c>
      <c r="E297" s="21">
        <v>-0.266679</v>
      </c>
      <c r="F297" s="21">
        <v>0.17824899999999999</v>
      </c>
      <c r="G297" s="21">
        <v>0.11869399999999999</v>
      </c>
      <c r="H297" s="21">
        <v>0.15771499999999999</v>
      </c>
      <c r="I297" s="21">
        <v>0.19289300000000001</v>
      </c>
      <c r="J297" s="21">
        <v>-6.5313999999999997E-2</v>
      </c>
      <c r="K297" s="21">
        <v>-0.14976700000000001</v>
      </c>
      <c r="L297" s="34">
        <v>1</v>
      </c>
      <c r="M297" s="21">
        <v>-2.7490000000000001E-3</v>
      </c>
      <c r="N297" s="21">
        <v>-1.7780000000000001E-2</v>
      </c>
      <c r="O297" s="21">
        <v>0.117604</v>
      </c>
      <c r="P297" s="21">
        <v>-0.774038</v>
      </c>
      <c r="Q297" s="21">
        <v>0.21449699999999999</v>
      </c>
      <c r="R297" s="21">
        <v>6.2112000000000001E-2</v>
      </c>
      <c r="S297" s="30"/>
    </row>
    <row r="298" spans="2:19" x14ac:dyDescent="0.2">
      <c r="B298" s="4" t="s">
        <v>51</v>
      </c>
      <c r="C298" s="21">
        <v>6.9887000000000005E-2</v>
      </c>
      <c r="D298" s="21">
        <v>4.6635999999999997E-2</v>
      </c>
      <c r="E298" s="21">
        <v>-9.8408999999999996E-2</v>
      </c>
      <c r="F298" s="21">
        <v>9.9404999999999993E-2</v>
      </c>
      <c r="G298" s="21">
        <v>-0.79965299999999995</v>
      </c>
      <c r="H298" s="21">
        <v>5.5086999999999997E-2</v>
      </c>
      <c r="I298" s="21">
        <v>0.11955399999999999</v>
      </c>
      <c r="J298" s="21">
        <v>-2.3185000000000001E-2</v>
      </c>
      <c r="K298" s="21">
        <v>-0.116081</v>
      </c>
      <c r="L298" s="21">
        <v>-2.7490000000000001E-3</v>
      </c>
      <c r="M298" s="34">
        <v>1</v>
      </c>
      <c r="N298" s="21">
        <v>-3.9577000000000001E-2</v>
      </c>
      <c r="O298" s="21">
        <v>-0.116081</v>
      </c>
      <c r="P298" s="21">
        <v>0.110053</v>
      </c>
      <c r="Q298" s="21">
        <v>-0.759575</v>
      </c>
      <c r="R298" s="21">
        <v>-6.6261E-2</v>
      </c>
      <c r="S298" s="30"/>
    </row>
    <row r="299" spans="2:19" x14ac:dyDescent="0.2">
      <c r="B299" s="4" t="s">
        <v>58</v>
      </c>
      <c r="C299" s="21">
        <v>-0.18095800000000001</v>
      </c>
      <c r="D299" s="21">
        <v>4.2666999999999997E-2</v>
      </c>
      <c r="E299" s="21">
        <v>-3.8525999999999998E-2</v>
      </c>
      <c r="F299" s="21">
        <v>0.11457100000000001</v>
      </c>
      <c r="G299" s="21">
        <v>-0.124988</v>
      </c>
      <c r="H299" s="21">
        <v>2.0341999999999999E-2</v>
      </c>
      <c r="I299" s="21">
        <v>0.22093399999999999</v>
      </c>
      <c r="J299" s="21">
        <v>-0.17161899999999999</v>
      </c>
      <c r="K299" s="21">
        <v>-2.9510000000000002E-2</v>
      </c>
      <c r="L299" s="21">
        <v>-1.7780000000000001E-2</v>
      </c>
      <c r="M299" s="21">
        <v>-3.9577000000000001E-2</v>
      </c>
      <c r="N299" s="34">
        <v>1</v>
      </c>
      <c r="O299" s="21">
        <v>0.85001000000000004</v>
      </c>
      <c r="P299" s="21">
        <v>-3.4261E-2</v>
      </c>
      <c r="Q299" s="21">
        <v>-7.8279999999999999E-3</v>
      </c>
      <c r="R299" s="21">
        <v>3.9497999999999998E-2</v>
      </c>
      <c r="S299" s="30"/>
    </row>
    <row r="300" spans="2:19" x14ac:dyDescent="0.2">
      <c r="B300" s="4" t="s">
        <v>64</v>
      </c>
      <c r="C300" s="21">
        <v>-8.5167999999999994E-2</v>
      </c>
      <c r="D300" s="21">
        <v>-0.13122400000000001</v>
      </c>
      <c r="E300" s="21">
        <v>0.115854</v>
      </c>
      <c r="F300" s="21">
        <v>0.107534</v>
      </c>
      <c r="G300" s="21">
        <v>0.17164199999999999</v>
      </c>
      <c r="H300" s="21">
        <v>3.591E-3</v>
      </c>
      <c r="I300" s="21">
        <v>-2.8249E-2</v>
      </c>
      <c r="J300" s="21">
        <v>-0.11783</v>
      </c>
      <c r="K300" s="21">
        <v>-0.108727</v>
      </c>
      <c r="L300" s="21">
        <v>0.117604</v>
      </c>
      <c r="M300" s="21">
        <v>-0.116081</v>
      </c>
      <c r="N300" s="21">
        <v>0.85001000000000004</v>
      </c>
      <c r="O300" s="34">
        <v>1</v>
      </c>
      <c r="P300" s="21">
        <v>-4.9475999999999999E-2</v>
      </c>
      <c r="Q300" s="21">
        <v>-0.75756699999999999</v>
      </c>
      <c r="R300" s="21">
        <v>0.107534</v>
      </c>
      <c r="S300" s="30"/>
    </row>
    <row r="301" spans="2:19" x14ac:dyDescent="0.2">
      <c r="B301" s="4" t="s">
        <v>84</v>
      </c>
      <c r="C301" s="21">
        <v>0.14408599999999999</v>
      </c>
      <c r="D301" s="21">
        <v>-6.2490999999999998E-2</v>
      </c>
      <c r="E301" s="21">
        <v>-0.12592300000000001</v>
      </c>
      <c r="F301" s="21">
        <v>-9.9999999999999995E-7</v>
      </c>
      <c r="G301" s="21">
        <v>4.0174000000000001E-2</v>
      </c>
      <c r="H301" s="21">
        <v>-6.8911E-2</v>
      </c>
      <c r="I301" s="21">
        <v>-0.21227099999999999</v>
      </c>
      <c r="J301" s="21">
        <v>-0.20031499999999999</v>
      </c>
      <c r="K301" s="21">
        <v>-4.9475999999999999E-2</v>
      </c>
      <c r="L301" s="21">
        <v>-0.774038</v>
      </c>
      <c r="M301" s="21">
        <v>0.110053</v>
      </c>
      <c r="N301" s="21">
        <v>-3.4261E-2</v>
      </c>
      <c r="O301" s="21">
        <v>-4.9475999999999999E-2</v>
      </c>
      <c r="P301" s="34">
        <v>1</v>
      </c>
      <c r="Q301" s="21">
        <v>2.9385999999999999E-2</v>
      </c>
      <c r="R301" s="21">
        <v>0.29496800000000001</v>
      </c>
      <c r="S301" s="30"/>
    </row>
    <row r="302" spans="2:19" x14ac:dyDescent="0.2">
      <c r="B302" s="4" t="s">
        <v>99</v>
      </c>
      <c r="C302" s="21">
        <v>-0.75120100000000001</v>
      </c>
      <c r="D302" s="21">
        <v>0.16469</v>
      </c>
      <c r="E302" s="21">
        <v>-0.27659299999999998</v>
      </c>
      <c r="F302" s="21">
        <v>0.19514500000000001</v>
      </c>
      <c r="G302" s="21">
        <v>-9.9555000000000005E-2</v>
      </c>
      <c r="H302" s="21">
        <v>-0.14802799999999999</v>
      </c>
      <c r="I302" s="21">
        <v>7.3001999999999997E-2</v>
      </c>
      <c r="J302" s="21">
        <v>-2.5583999999999999E-2</v>
      </c>
      <c r="K302" s="21">
        <v>-0.75756699999999999</v>
      </c>
      <c r="L302" s="21">
        <v>0.21449699999999999</v>
      </c>
      <c r="M302" s="21">
        <v>-0.759575</v>
      </c>
      <c r="N302" s="21">
        <v>-7.8279999999999999E-3</v>
      </c>
      <c r="O302" s="21">
        <v>-0.75756699999999999</v>
      </c>
      <c r="P302" s="21">
        <v>2.9385999999999999E-2</v>
      </c>
      <c r="Q302" s="34">
        <v>1</v>
      </c>
      <c r="R302" s="21">
        <v>0.19514500000000001</v>
      </c>
      <c r="S302" s="30"/>
    </row>
    <row r="303" spans="2:19" ht="17" thickBot="1" x14ac:dyDescent="0.25">
      <c r="B303" s="8" t="s">
        <v>134</v>
      </c>
      <c r="C303" s="22">
        <v>0.13355400000000001</v>
      </c>
      <c r="D303" s="22">
        <v>3.4942000000000001E-2</v>
      </c>
      <c r="E303" s="22">
        <v>-0.13963</v>
      </c>
      <c r="F303" s="22">
        <v>-9.3959999999999998E-3</v>
      </c>
      <c r="G303" s="22">
        <v>0.14366899999999999</v>
      </c>
      <c r="H303" s="22">
        <v>0.26280100000000001</v>
      </c>
      <c r="I303" s="22">
        <v>-0.22176399999999999</v>
      </c>
      <c r="J303" s="22">
        <v>-0.80789699999999998</v>
      </c>
      <c r="K303" s="22">
        <v>-0.76519999999999999</v>
      </c>
      <c r="L303" s="22">
        <v>6.2112000000000001E-2</v>
      </c>
      <c r="M303" s="22">
        <v>-6.6261E-2</v>
      </c>
      <c r="N303" s="22">
        <v>3.9497999999999998E-2</v>
      </c>
      <c r="O303" s="22">
        <v>0.107534</v>
      </c>
      <c r="P303" s="22">
        <v>0.29496800000000001</v>
      </c>
      <c r="Q303" s="22">
        <v>0.19514500000000001</v>
      </c>
      <c r="R303" s="35">
        <v>1</v>
      </c>
      <c r="S303" s="30"/>
    </row>
    <row r="306" spans="2:16" x14ac:dyDescent="0.2">
      <c r="B306" s="3" t="s">
        <v>523</v>
      </c>
    </row>
    <row r="307" spans="2:16" ht="17" thickBot="1" x14ac:dyDescent="0.25"/>
    <row r="308" spans="2:16" ht="17" x14ac:dyDescent="0.2">
      <c r="B308" s="5"/>
      <c r="C308" s="6" t="s">
        <v>514</v>
      </c>
      <c r="D308" s="6" t="s">
        <v>515</v>
      </c>
      <c r="E308" s="6" t="s">
        <v>516</v>
      </c>
      <c r="F308" s="6" t="s">
        <v>524</v>
      </c>
      <c r="G308" s="6" t="s">
        <v>525</v>
      </c>
      <c r="H308" s="6" t="s">
        <v>526</v>
      </c>
      <c r="I308" s="6" t="s">
        <v>527</v>
      </c>
      <c r="J308" s="6" t="s">
        <v>528</v>
      </c>
      <c r="K308" s="6" t="s">
        <v>529</v>
      </c>
      <c r="L308" s="6" t="s">
        <v>530</v>
      </c>
      <c r="M308" s="6" t="s">
        <v>531</v>
      </c>
      <c r="N308" s="6" t="s">
        <v>532</v>
      </c>
      <c r="O308" s="6" t="s">
        <v>533</v>
      </c>
      <c r="P308" s="6" t="s">
        <v>534</v>
      </c>
    </row>
    <row r="309" spans="2:16" x14ac:dyDescent="0.2">
      <c r="B309" s="7" t="s">
        <v>517</v>
      </c>
      <c r="C309" s="20">
        <v>4.9642914551538615</v>
      </c>
      <c r="D309" s="20">
        <v>4.1838483080619602</v>
      </c>
      <c r="E309" s="20">
        <v>3.5855311623482153</v>
      </c>
      <c r="F309" s="20">
        <v>3.396908430283613</v>
      </c>
      <c r="G309" s="20">
        <v>3.2923831679412214</v>
      </c>
      <c r="H309" s="20">
        <v>2.6493931866364413</v>
      </c>
      <c r="I309" s="20">
        <v>2.5271933660663444</v>
      </c>
      <c r="J309" s="20">
        <v>2.1199566839507127</v>
      </c>
      <c r="K309" s="20">
        <v>1.8525383066507517</v>
      </c>
      <c r="L309" s="20">
        <v>1.5646315804318824</v>
      </c>
      <c r="M309" s="20">
        <v>1.1978421455845489</v>
      </c>
      <c r="N309" s="20">
        <v>1.1310226393689431</v>
      </c>
      <c r="O309" s="20">
        <v>1.0403922316402483</v>
      </c>
      <c r="P309" s="20">
        <v>0.52652863853335186</v>
      </c>
    </row>
    <row r="310" spans="2:16" x14ac:dyDescent="0.2">
      <c r="B310" s="4" t="s">
        <v>538</v>
      </c>
      <c r="C310" s="21">
        <v>14.586930433876681</v>
      </c>
      <c r="D310" s="21">
        <v>12.293698862550151</v>
      </c>
      <c r="E310" s="21">
        <v>10.535621066198939</v>
      </c>
      <c r="F310" s="21">
        <v>9.9813774856739439</v>
      </c>
      <c r="G310" s="21">
        <v>9.6742434779016477</v>
      </c>
      <c r="H310" s="21">
        <v>7.7849003134838766</v>
      </c>
      <c r="I310" s="21">
        <v>7.4258318950013908</v>
      </c>
      <c r="J310" s="21">
        <v>6.2292194064303787</v>
      </c>
      <c r="K310" s="21">
        <v>5.4434449808847258</v>
      </c>
      <c r="L310" s="21">
        <v>4.59746818344271</v>
      </c>
      <c r="M310" s="21">
        <v>3.5197047164237962</v>
      </c>
      <c r="N310" s="21">
        <v>3.3233642119231748</v>
      </c>
      <c r="O310" s="21">
        <v>3.0570584430787919</v>
      </c>
      <c r="P310" s="21">
        <v>1.5471365231298166</v>
      </c>
    </row>
    <row r="311" spans="2:16" ht="17" thickBot="1" x14ac:dyDescent="0.25">
      <c r="B311" s="8" t="s">
        <v>519</v>
      </c>
      <c r="C311" s="22">
        <v>14.586930433876681</v>
      </c>
      <c r="D311" s="22">
        <v>26.880629296426832</v>
      </c>
      <c r="E311" s="22">
        <v>37.416250362625775</v>
      </c>
      <c r="F311" s="22">
        <v>47.39762784829972</v>
      </c>
      <c r="G311" s="22">
        <v>57.071871326201368</v>
      </c>
      <c r="H311" s="22">
        <v>64.856771639685249</v>
      </c>
      <c r="I311" s="22">
        <v>72.282603534686643</v>
      </c>
      <c r="J311" s="22">
        <v>78.511822941117018</v>
      </c>
      <c r="K311" s="22">
        <v>83.955267922001738</v>
      </c>
      <c r="L311" s="22">
        <v>88.552736105444453</v>
      </c>
      <c r="M311" s="22">
        <v>92.072440821868256</v>
      </c>
      <c r="N311" s="22">
        <v>95.395805033791433</v>
      </c>
      <c r="O311" s="22">
        <v>98.45286347687022</v>
      </c>
      <c r="P311" s="22">
        <v>100.00000000000004</v>
      </c>
    </row>
    <row r="329" spans="2:16" x14ac:dyDescent="0.2">
      <c r="F329" t="s">
        <v>520</v>
      </c>
    </row>
    <row r="332" spans="2:16" x14ac:dyDescent="0.2">
      <c r="B332" s="3" t="s">
        <v>539</v>
      </c>
    </row>
    <row r="333" spans="2:16" ht="17" thickBot="1" x14ac:dyDescent="0.25"/>
    <row r="334" spans="2:16" ht="17" x14ac:dyDescent="0.2">
      <c r="B334" s="5"/>
      <c r="C334" s="6" t="s">
        <v>514</v>
      </c>
      <c r="D334" s="6" t="s">
        <v>515</v>
      </c>
      <c r="E334" s="6" t="s">
        <v>516</v>
      </c>
      <c r="F334" s="6" t="s">
        <v>524</v>
      </c>
      <c r="G334" s="6" t="s">
        <v>525</v>
      </c>
      <c r="H334" s="6" t="s">
        <v>526</v>
      </c>
      <c r="I334" s="6" t="s">
        <v>527</v>
      </c>
      <c r="J334" s="6" t="s">
        <v>528</v>
      </c>
      <c r="K334" s="6" t="s">
        <v>529</v>
      </c>
      <c r="L334" s="6" t="s">
        <v>530</v>
      </c>
      <c r="M334" s="6" t="s">
        <v>531</v>
      </c>
      <c r="N334" s="6" t="s">
        <v>532</v>
      </c>
      <c r="O334" s="6" t="s">
        <v>533</v>
      </c>
      <c r="P334" s="6" t="s">
        <v>534</v>
      </c>
    </row>
    <row r="335" spans="2:16" x14ac:dyDescent="0.2">
      <c r="B335" s="7" t="s">
        <v>5</v>
      </c>
      <c r="C335" s="20">
        <v>-0.83935760183807973</v>
      </c>
      <c r="D335" s="20">
        <v>-0.71000246519174226</v>
      </c>
      <c r="E335" s="20">
        <v>-0.13125091288837218</v>
      </c>
      <c r="F335" s="20">
        <v>0.28919637872477832</v>
      </c>
      <c r="G335" s="20">
        <v>-0.17987634381264697</v>
      </c>
      <c r="H335" s="20">
        <v>-0.72252364726477414</v>
      </c>
      <c r="I335" s="20">
        <v>-5.7530358086402771E-2</v>
      </c>
      <c r="J335" s="20">
        <v>8.8665183710988651E-2</v>
      </c>
      <c r="K335" s="20">
        <v>0.14083899931410479</v>
      </c>
      <c r="L335" s="20">
        <v>-0.47814672557873655</v>
      </c>
      <c r="M335" s="20">
        <v>0.22907883986906247</v>
      </c>
      <c r="N335" s="20">
        <v>-2.7324453950261989E-2</v>
      </c>
      <c r="O335" s="20">
        <v>-0.14370802187673756</v>
      </c>
      <c r="P335" s="20">
        <v>-0.17337751107813437</v>
      </c>
    </row>
    <row r="336" spans="2:16" x14ac:dyDescent="0.2">
      <c r="B336" s="4" t="s">
        <v>190</v>
      </c>
      <c r="C336" s="21">
        <v>-0.5730624706697921</v>
      </c>
      <c r="D336" s="21">
        <v>0.24326981027302283</v>
      </c>
      <c r="E336" s="21">
        <v>7.04133657451535E-2</v>
      </c>
      <c r="F336" s="21">
        <v>-0.74150987963459769</v>
      </c>
      <c r="G336" s="21">
        <v>-0.28226030144058667</v>
      </c>
      <c r="H336" s="21">
        <v>-0.24397952878233059</v>
      </c>
      <c r="I336" s="21">
        <v>-0.54595570273127625</v>
      </c>
      <c r="J336" s="21">
        <v>-0.39310517285281604</v>
      </c>
      <c r="K336" s="21">
        <v>0.31381902854393418</v>
      </c>
      <c r="L336" s="21">
        <v>0.11146778498589938</v>
      </c>
      <c r="M336" s="21">
        <v>-0.45915977209136583</v>
      </c>
      <c r="N336" s="21">
        <v>0.31673595825165901</v>
      </c>
      <c r="O336" s="21">
        <v>0.36338829231309111</v>
      </c>
      <c r="P336" s="21">
        <v>-4.8934662156982977E-3</v>
      </c>
    </row>
    <row r="337" spans="2:16" x14ac:dyDescent="0.2">
      <c r="B337" s="4" t="s">
        <v>9</v>
      </c>
      <c r="C337" s="21">
        <v>0.22550277355016618</v>
      </c>
      <c r="D337" s="21">
        <v>-0.38658482879174916</v>
      </c>
      <c r="E337" s="21">
        <v>1.1390683835334592</v>
      </c>
      <c r="F337" s="21">
        <v>-0.34530972671284471</v>
      </c>
      <c r="G337" s="21">
        <v>-0.47547484760041958</v>
      </c>
      <c r="H337" s="21">
        <v>1.6712506142059713E-2</v>
      </c>
      <c r="I337" s="21">
        <v>0.34040791664039471</v>
      </c>
      <c r="J337" s="21">
        <v>-7.4373897749510531E-2</v>
      </c>
      <c r="K337" s="21">
        <v>-8.4430432996871987E-2</v>
      </c>
      <c r="L337" s="21">
        <v>-0.23189562819385334</v>
      </c>
      <c r="M337" s="21">
        <v>0.10412835460045129</v>
      </c>
      <c r="N337" s="21">
        <v>0.3811536994509791</v>
      </c>
      <c r="O337" s="21">
        <v>-0.30647207646003793</v>
      </c>
      <c r="P337" s="21">
        <v>5.831451081860313E-2</v>
      </c>
    </row>
    <row r="338" spans="2:16" x14ac:dyDescent="0.2">
      <c r="B338" s="4" t="s">
        <v>10</v>
      </c>
      <c r="C338" s="21">
        <v>6.7069616175163878E-3</v>
      </c>
      <c r="D338" s="21">
        <v>0.33172061100576861</v>
      </c>
      <c r="E338" s="21">
        <v>-0.96785698448582858</v>
      </c>
      <c r="F338" s="21">
        <v>0.24757961597416334</v>
      </c>
      <c r="G338" s="21">
        <v>0.48266295829497463</v>
      </c>
      <c r="H338" s="21">
        <v>-9.1386549352549681E-2</v>
      </c>
      <c r="I338" s="21">
        <v>-0.39235384095410064</v>
      </c>
      <c r="J338" s="21">
        <v>-0.11213364209840739</v>
      </c>
      <c r="K338" s="21">
        <v>-0.2156801408170386</v>
      </c>
      <c r="L338" s="21">
        <v>-0.16966915303436661</v>
      </c>
      <c r="M338" s="21">
        <v>2.746531460125946E-2</v>
      </c>
      <c r="N338" s="21">
        <v>0.46767485485264615</v>
      </c>
      <c r="O338" s="21">
        <v>-0.37646540409479973</v>
      </c>
      <c r="P338" s="21">
        <v>3.6910585269210927E-2</v>
      </c>
    </row>
    <row r="339" spans="2:16" x14ac:dyDescent="0.2">
      <c r="B339" s="4" t="s">
        <v>23</v>
      </c>
      <c r="C339" s="21">
        <v>3.012536991683671E-2</v>
      </c>
      <c r="D339" s="21">
        <v>0.28454664529886065</v>
      </c>
      <c r="E339" s="21">
        <v>0.4939424090611455</v>
      </c>
      <c r="F339" s="21">
        <v>1.0231372987752771</v>
      </c>
      <c r="G339" s="21">
        <v>-6.9531603987409721E-2</v>
      </c>
      <c r="H339" s="21">
        <v>-0.48248421627702981</v>
      </c>
      <c r="I339" s="21">
        <v>-0.21549082218461305</v>
      </c>
      <c r="J339" s="21">
        <v>-0.14265701527594588</v>
      </c>
      <c r="K339" s="21">
        <v>-0.10869728163551463</v>
      </c>
      <c r="L339" s="21">
        <v>3.2375188542348325E-2</v>
      </c>
      <c r="M339" s="21">
        <v>-0.38868072524791714</v>
      </c>
      <c r="N339" s="21">
        <v>-0.33818918658099584</v>
      </c>
      <c r="O339" s="21">
        <v>-4.4739293458571118E-2</v>
      </c>
      <c r="P339" s="21">
        <v>0.30906699393740533</v>
      </c>
    </row>
    <row r="340" spans="2:16" x14ac:dyDescent="0.2">
      <c r="B340" s="4" t="s">
        <v>24</v>
      </c>
      <c r="C340" s="21">
        <v>-4.5597854824772271E-2</v>
      </c>
      <c r="D340" s="21">
        <v>-0.11845005858586234</v>
      </c>
      <c r="E340" s="21">
        <v>-0.39231601209894101</v>
      </c>
      <c r="F340" s="21">
        <v>0.22789108756478205</v>
      </c>
      <c r="G340" s="21">
        <v>0.1678915679198332</v>
      </c>
      <c r="H340" s="21">
        <v>1.908419962213604E-2</v>
      </c>
      <c r="I340" s="21">
        <v>0.82715745774025684</v>
      </c>
      <c r="J340" s="21">
        <v>-5.1828823092831329E-2</v>
      </c>
      <c r="K340" s="21">
        <v>0.98081068223995815</v>
      </c>
      <c r="L340" s="21">
        <v>0.23021241737707751</v>
      </c>
      <c r="M340" s="21">
        <v>6.8030394801313248E-3</v>
      </c>
      <c r="N340" s="21">
        <v>2.7230100775691261E-2</v>
      </c>
      <c r="O340" s="21">
        <v>1.2549411969735105E-2</v>
      </c>
      <c r="P340" s="21">
        <v>9.6050009649962645E-2</v>
      </c>
    </row>
    <row r="341" spans="2:16" x14ac:dyDescent="0.2">
      <c r="B341" s="4" t="s">
        <v>26</v>
      </c>
      <c r="C341" s="21">
        <v>6.2464802574233223E-2</v>
      </c>
      <c r="D341" s="21">
        <v>0.10312166037128073</v>
      </c>
      <c r="E341" s="21">
        <v>-7.028305357272395E-2</v>
      </c>
      <c r="F341" s="21">
        <v>-0.24924325230524899</v>
      </c>
      <c r="G341" s="21">
        <v>-0.42705256754137511</v>
      </c>
      <c r="H341" s="21">
        <v>-0.41109467311993997</v>
      </c>
      <c r="I341" s="21">
        <v>-0.30627062325239079</v>
      </c>
      <c r="J341" s="21">
        <v>0.92642971807722141</v>
      </c>
      <c r="K341" s="21">
        <v>-1.6544638218419318E-2</v>
      </c>
      <c r="L341" s="21">
        <v>0.66688260615031703</v>
      </c>
      <c r="M341" s="21">
        <v>0.15665236402373167</v>
      </c>
      <c r="N341" s="21">
        <v>-8.9645672797208767E-2</v>
      </c>
      <c r="O341" s="21">
        <v>-9.7654764205944752E-2</v>
      </c>
      <c r="P341" s="21">
        <v>-6.8694383240644058E-2</v>
      </c>
    </row>
    <row r="342" spans="2:16" x14ac:dyDescent="0.2">
      <c r="B342" s="4" t="s">
        <v>32</v>
      </c>
      <c r="C342" s="21">
        <v>1.0599873883916626</v>
      </c>
      <c r="D342" s="21">
        <v>0.45396665970979028</v>
      </c>
      <c r="E342" s="21">
        <v>1.6024783652205323E-4</v>
      </c>
      <c r="F342" s="21">
        <v>-0.35518306709559577</v>
      </c>
      <c r="G342" s="21">
        <v>-1.7622732895777572E-2</v>
      </c>
      <c r="H342" s="21">
        <v>-0.20410230928542697</v>
      </c>
      <c r="I342" s="21">
        <v>-0.10689270519798923</v>
      </c>
      <c r="J342" s="21">
        <v>-0.60742125003338976</v>
      </c>
      <c r="K342" s="21">
        <v>0.15529967397677003</v>
      </c>
      <c r="L342" s="21">
        <v>1.9710595768811737E-2</v>
      </c>
      <c r="M342" s="21">
        <v>5.4407928011476703E-2</v>
      </c>
      <c r="N342" s="21">
        <v>-0.40961382493512394</v>
      </c>
      <c r="O342" s="21">
        <v>-0.28216358204179082</v>
      </c>
      <c r="P342" s="21">
        <v>-0.31349281527917389</v>
      </c>
    </row>
    <row r="343" spans="2:16" x14ac:dyDescent="0.2">
      <c r="B343" s="4" t="s">
        <v>37</v>
      </c>
      <c r="C343" s="21">
        <v>1.3030864090539265</v>
      </c>
      <c r="D343" s="21">
        <v>-0.24141786414736385</v>
      </c>
      <c r="E343" s="21">
        <v>-3.6428749058583725E-2</v>
      </c>
      <c r="F343" s="21">
        <v>0.32188295368049219</v>
      </c>
      <c r="G343" s="21">
        <v>0.20341899974702896</v>
      </c>
      <c r="H343" s="21">
        <v>-6.6385943406574915E-2</v>
      </c>
      <c r="I343" s="21">
        <v>0.25486539618695575</v>
      </c>
      <c r="J343" s="21">
        <v>0.34289228808330885</v>
      </c>
      <c r="K343" s="21">
        <v>-0.19061988899387519</v>
      </c>
      <c r="L343" s="21">
        <v>-3.1513560020842712E-2</v>
      </c>
      <c r="M343" s="21">
        <v>-0.27884298022796544</v>
      </c>
      <c r="N343" s="21">
        <v>0.39448537903453545</v>
      </c>
      <c r="O343" s="21">
        <v>0.27512641118821607</v>
      </c>
      <c r="P343" s="21">
        <v>-8.2650958309800932E-2</v>
      </c>
    </row>
    <row r="344" spans="2:16" x14ac:dyDescent="0.2">
      <c r="B344" s="4" t="s">
        <v>44</v>
      </c>
      <c r="C344" s="21">
        <v>-7.8341399672222603E-2</v>
      </c>
      <c r="D344" s="21">
        <v>0.30525918446687739</v>
      </c>
      <c r="E344" s="21">
        <v>-0.53587116201746854</v>
      </c>
      <c r="F344" s="21">
        <v>0.25229458591438825</v>
      </c>
      <c r="G344" s="21">
        <v>-0.94480630494782869</v>
      </c>
      <c r="H344" s="21">
        <v>0.13174924089675588</v>
      </c>
      <c r="I344" s="21">
        <v>0.38291946714236358</v>
      </c>
      <c r="J344" s="21">
        <v>-0.14603172474650156</v>
      </c>
      <c r="K344" s="21">
        <v>-0.3910672471488304</v>
      </c>
      <c r="L344" s="21">
        <v>-0.23595590958998572</v>
      </c>
      <c r="M344" s="21">
        <v>0.18205087539936121</v>
      </c>
      <c r="N344" s="21">
        <v>-0.11723216104289894</v>
      </c>
      <c r="O344" s="21">
        <v>0.47249067654152382</v>
      </c>
      <c r="P344" s="21">
        <v>-9.39930283422927E-2</v>
      </c>
    </row>
    <row r="345" spans="2:16" x14ac:dyDescent="0.2">
      <c r="B345" s="4" t="s">
        <v>51</v>
      </c>
      <c r="C345" s="21">
        <v>8.5552366821471409E-2</v>
      </c>
      <c r="D345" s="21">
        <v>-0.77939819526987064</v>
      </c>
      <c r="E345" s="21">
        <v>-0.56711159004165079</v>
      </c>
      <c r="F345" s="21">
        <v>-0.88753914206880014</v>
      </c>
      <c r="G345" s="21">
        <v>0.1062016006189707</v>
      </c>
      <c r="H345" s="21">
        <v>2.2908036990676568E-2</v>
      </c>
      <c r="I345" s="21">
        <v>0.2628559557785255</v>
      </c>
      <c r="J345" s="21">
        <v>-6.6376720700252537E-2</v>
      </c>
      <c r="K345" s="21">
        <v>-0.40556215647762806</v>
      </c>
      <c r="L345" s="21">
        <v>-1.8050749574283521E-3</v>
      </c>
      <c r="M345" s="21">
        <v>-0.1417619304009351</v>
      </c>
      <c r="N345" s="21">
        <v>-0.31976889023462457</v>
      </c>
      <c r="O345" s="21">
        <v>-9.6501274658286881E-2</v>
      </c>
      <c r="P345" s="21">
        <v>0.33966062775905487</v>
      </c>
    </row>
    <row r="346" spans="2:16" x14ac:dyDescent="0.2">
      <c r="B346" s="4" t="s">
        <v>58</v>
      </c>
      <c r="C346" s="21">
        <v>4.5151795274832179E-2</v>
      </c>
      <c r="D346" s="21">
        <v>-4.399197981643907E-2</v>
      </c>
      <c r="E346" s="21">
        <v>4.3486500887332941E-2</v>
      </c>
      <c r="F346" s="21">
        <v>-3.1428018419406865E-2</v>
      </c>
      <c r="G346" s="21">
        <v>-7.4726448880830659E-3</v>
      </c>
      <c r="H346" s="21">
        <v>0.88735785152047231</v>
      </c>
      <c r="I346" s="21">
        <v>-0.47019384528870639</v>
      </c>
      <c r="J346" s="21">
        <v>0.5700301314878895</v>
      </c>
      <c r="K346" s="21">
        <v>0.36409222539508279</v>
      </c>
      <c r="L346" s="21">
        <v>-0.56619991517942747</v>
      </c>
      <c r="M346" s="21">
        <v>-0.2404767160039547</v>
      </c>
      <c r="N346" s="21">
        <v>-0.26136978756236878</v>
      </c>
      <c r="O346" s="21">
        <v>-3.7063050920788349E-2</v>
      </c>
      <c r="P346" s="21">
        <v>-4.8049834424047186E-2</v>
      </c>
    </row>
    <row r="347" spans="2:16" x14ac:dyDescent="0.2">
      <c r="B347" s="4" t="s">
        <v>64</v>
      </c>
      <c r="C347" s="21">
        <v>0.12073573514253071</v>
      </c>
      <c r="D347" s="21">
        <v>-0.59984515779773528</v>
      </c>
      <c r="E347" s="21">
        <v>7.0472114333926278E-2</v>
      </c>
      <c r="F347" s="21">
        <v>0.44166166414193647</v>
      </c>
      <c r="G347" s="21">
        <v>-0.19391002691742168</v>
      </c>
      <c r="H347" s="21">
        <v>0.67618921765475637</v>
      </c>
      <c r="I347" s="21">
        <v>-0.58989237779466586</v>
      </c>
      <c r="J347" s="21">
        <v>-0.43096253119848749</v>
      </c>
      <c r="K347" s="21">
        <v>5.808345977668819E-2</v>
      </c>
      <c r="L347" s="21">
        <v>0.42508489167575286</v>
      </c>
      <c r="M347" s="21">
        <v>0.46619117660279341</v>
      </c>
      <c r="N347" s="21">
        <v>9.0421458464814336E-2</v>
      </c>
      <c r="O347" s="21">
        <v>6.0143547029775674E-2</v>
      </c>
      <c r="P347" s="21">
        <v>0.1153811605814748</v>
      </c>
    </row>
    <row r="348" spans="2:16" x14ac:dyDescent="0.2">
      <c r="B348" s="4" t="s">
        <v>84</v>
      </c>
      <c r="C348" s="21">
        <v>-0.13764848212996816</v>
      </c>
      <c r="D348" s="21">
        <v>-0.20506154288460626</v>
      </c>
      <c r="E348" s="21">
        <v>0.47164528650782284</v>
      </c>
      <c r="F348" s="21">
        <v>-0.15417718960057331</v>
      </c>
      <c r="G348" s="21">
        <v>1.1907332577053389</v>
      </c>
      <c r="H348" s="21">
        <v>-0.2188747794854671</v>
      </c>
      <c r="I348" s="21">
        <v>-8.5283584542933791E-2</v>
      </c>
      <c r="J348" s="21">
        <v>1.8856513200043234E-2</v>
      </c>
      <c r="K348" s="21">
        <v>-0.12461926630993518</v>
      </c>
      <c r="L348" s="21">
        <v>-5.1488391040864563E-2</v>
      </c>
      <c r="M348" s="21">
        <v>0.30133954832683008</v>
      </c>
      <c r="N348" s="21">
        <v>-0.15012600765902601</v>
      </c>
      <c r="O348" s="21">
        <v>0.45072012699211111</v>
      </c>
      <c r="P348" s="21">
        <v>-7.7912319941298436E-2</v>
      </c>
    </row>
    <row r="349" spans="2:16" x14ac:dyDescent="0.2">
      <c r="B349" s="4" t="s">
        <v>99</v>
      </c>
      <c r="C349" s="21">
        <v>-0.31448759325167491</v>
      </c>
      <c r="D349" s="21">
        <v>1.3735068105013983</v>
      </c>
      <c r="E349" s="21">
        <v>0.23791264359006925</v>
      </c>
      <c r="F349" s="21">
        <v>-0.26488196451315676</v>
      </c>
      <c r="G349" s="21">
        <v>0.17434662999432771</v>
      </c>
      <c r="H349" s="21">
        <v>0.16357608134545656</v>
      </c>
      <c r="I349" s="21">
        <v>0.25869803723985019</v>
      </c>
      <c r="J349" s="21">
        <v>0.16514334903645986</v>
      </c>
      <c r="K349" s="21">
        <v>-5.8970085229865507E-2</v>
      </c>
      <c r="L349" s="21">
        <v>-0.12578713213672524</v>
      </c>
      <c r="M349" s="21">
        <v>0.34195298654442291</v>
      </c>
      <c r="N349" s="21">
        <v>6.1076159016246148E-2</v>
      </c>
      <c r="O349" s="21">
        <v>-4.3680006573497486E-2</v>
      </c>
      <c r="P349" s="21">
        <v>0.20578136897505805</v>
      </c>
    </row>
    <row r="350" spans="2:16" ht="17" thickBot="1" x14ac:dyDescent="0.25">
      <c r="B350" s="8" t="s">
        <v>134</v>
      </c>
      <c r="C350" s="22">
        <v>-0.95081819995666594</v>
      </c>
      <c r="D350" s="22">
        <v>-1.0639289141631264E-2</v>
      </c>
      <c r="E350" s="22">
        <v>0.17401751266813625</v>
      </c>
      <c r="F350" s="22">
        <v>0.22562865557440359</v>
      </c>
      <c r="G350" s="22">
        <v>0.27275235975107509</v>
      </c>
      <c r="H350" s="22">
        <v>0.52325451280178004</v>
      </c>
      <c r="I350" s="22">
        <v>0.44295962930473581</v>
      </c>
      <c r="J350" s="22">
        <v>-8.7126405847760602E-2</v>
      </c>
      <c r="K350" s="22">
        <v>-0.41675293141855985</v>
      </c>
      <c r="L350" s="22">
        <v>0.40672800523202052</v>
      </c>
      <c r="M350" s="22">
        <v>-0.36114830348738391</v>
      </c>
      <c r="N350" s="22">
        <v>-2.5507625084065299E-2</v>
      </c>
      <c r="O350" s="22">
        <v>-0.20597099174399802</v>
      </c>
      <c r="P350" s="22">
        <v>-0.29810094015967892</v>
      </c>
    </row>
    <row r="368" spans="6:6" x14ac:dyDescent="0.2">
      <c r="F368" t="s">
        <v>520</v>
      </c>
    </row>
  </sheetData>
  <mergeCells count="1">
    <mergeCell ref="B235:J236"/>
  </mergeCells>
  <pageMargins left="0.7" right="0.7" top="0.75" bottom="0.75" header="0.3" footer="0.3"/>
  <ignoredErrors>
    <ignoredError sqref="B218:B22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D96391">
              <controlPr defaultSize="0" autoFill="0" autoPict="0" macro="[0]!GoToResultsNew2021022814383928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B099E-DA94-DB4F-AB29-10994FD1F59B}">
  <sheetPr codeName="XLSTAT_20201111_150415_1_HID">
    <tabColor rgb="FF007800"/>
  </sheetPr>
  <dimension ref="B2:D21"/>
  <sheetViews>
    <sheetView workbookViewId="0"/>
  </sheetViews>
  <sheetFormatPr baseColWidth="10" defaultRowHeight="16" x14ac:dyDescent="0.2"/>
  <sheetData>
    <row r="2" spans="2:4" x14ac:dyDescent="0.2">
      <c r="B2">
        <v>0.28675521202822113</v>
      </c>
      <c r="C2">
        <v>6.5958643458423144E-2</v>
      </c>
      <c r="D2">
        <v>4.1518200799451649E-2</v>
      </c>
    </row>
    <row r="3" spans="2:4" x14ac:dyDescent="0.2">
      <c r="B3">
        <v>-8.4797265836001404E-2</v>
      </c>
      <c r="C3">
        <v>-0.20839453279644524</v>
      </c>
      <c r="D3">
        <v>6.4268607890105994E-2</v>
      </c>
    </row>
    <row r="4" spans="2:4" x14ac:dyDescent="0.2">
      <c r="B4">
        <v>-0.21717437870507919</v>
      </c>
      <c r="C4">
        <v>0.18568383120939139</v>
      </c>
      <c r="D4">
        <v>3.7970391293198749E-2</v>
      </c>
    </row>
    <row r="5" spans="2:4" x14ac:dyDescent="0.2">
      <c r="B5">
        <v>-6.6777881708071233E-3</v>
      </c>
      <c r="C5">
        <v>-2.9242561219980739E-2</v>
      </c>
      <c r="D5">
        <v>-0.14131794918329704</v>
      </c>
    </row>
    <row r="6" spans="2:4" x14ac:dyDescent="0.2">
      <c r="B6">
        <v>8.1618115412600903E-2</v>
      </c>
      <c r="C6">
        <v>-0.1805014075475749</v>
      </c>
      <c r="D6">
        <v>-7.7489149834441926E-2</v>
      </c>
    </row>
    <row r="7" spans="2:4" x14ac:dyDescent="0.2">
      <c r="B7">
        <v>-0.24388647054536725</v>
      </c>
      <c r="C7">
        <v>-4.2088294420260221E-2</v>
      </c>
      <c r="D7">
        <v>6.7320722303085889E-2</v>
      </c>
    </row>
    <row r="8" spans="2:4" x14ac:dyDescent="0.2">
      <c r="B8">
        <v>-0.11406822854305047</v>
      </c>
      <c r="C8">
        <v>1.7430898038026176E-2</v>
      </c>
      <c r="D8">
        <v>-5.6126760314520151E-2</v>
      </c>
    </row>
    <row r="9" spans="2:4" x14ac:dyDescent="0.2">
      <c r="B9">
        <v>0.15680239761997769</v>
      </c>
      <c r="C9">
        <v>0.27483243217095438</v>
      </c>
      <c r="D9">
        <v>0.16607234788053601</v>
      </c>
    </row>
    <row r="10" spans="2:4" x14ac:dyDescent="0.2">
      <c r="B10">
        <v>0.40887156817455261</v>
      </c>
      <c r="C10">
        <v>0.31183741439812523</v>
      </c>
      <c r="D10">
        <v>3.3981002618193507E-2</v>
      </c>
    </row>
    <row r="11" spans="2:4" x14ac:dyDescent="0.2">
      <c r="B11">
        <v>9.9533257843355025E-2</v>
      </c>
      <c r="C11">
        <v>-0.16214393605710475</v>
      </c>
      <c r="D11">
        <v>-3.0166908069312527E-2</v>
      </c>
    </row>
    <row r="12" spans="2:4" x14ac:dyDescent="0.2">
      <c r="B12">
        <v>-4.8024735700288208E-2</v>
      </c>
      <c r="C12">
        <v>6.0408178675683405E-2</v>
      </c>
      <c r="D12">
        <v>0.12668598752562996</v>
      </c>
    </row>
    <row r="13" spans="2:4" x14ac:dyDescent="0.2">
      <c r="B13">
        <v>-9.1537458757671233E-2</v>
      </c>
      <c r="C13">
        <v>-1.2180728907132803E-2</v>
      </c>
      <c r="D13">
        <v>3.3013308431681675E-2</v>
      </c>
    </row>
    <row r="14" spans="2:4" x14ac:dyDescent="0.2">
      <c r="B14">
        <v>7.0708579223397877E-2</v>
      </c>
      <c r="C14">
        <v>-0.15236632653023172</v>
      </c>
      <c r="D14">
        <v>-1.2083639436097643E-2</v>
      </c>
    </row>
    <row r="15" spans="2:4" x14ac:dyDescent="0.2">
      <c r="B15">
        <v>4.2588846825739914E-2</v>
      </c>
      <c r="C15">
        <v>-0.1449772485913853</v>
      </c>
      <c r="D15">
        <v>0.1547366683254828</v>
      </c>
    </row>
    <row r="16" spans="2:4" x14ac:dyDescent="0.2">
      <c r="B16">
        <v>-0.2758067705058394</v>
      </c>
      <c r="C16">
        <v>0.32315366358686587</v>
      </c>
      <c r="D16">
        <v>-0.19129815026579913</v>
      </c>
    </row>
    <row r="17" spans="2:4" x14ac:dyDescent="0.2">
      <c r="B17">
        <v>-6.8659814990523052E-2</v>
      </c>
      <c r="C17">
        <v>1.6533807527908281E-2</v>
      </c>
      <c r="D17">
        <v>1.6266450797651776E-2</v>
      </c>
    </row>
    <row r="18" spans="2:4" x14ac:dyDescent="0.2">
      <c r="B18">
        <v>-6.8097377245595281E-2</v>
      </c>
      <c r="C18">
        <v>5.9341664411397453E-2</v>
      </c>
      <c r="D18">
        <v>-3.46013699332278E-2</v>
      </c>
    </row>
    <row r="19" spans="2:4" x14ac:dyDescent="0.2">
      <c r="B19">
        <v>0.24481663590403888</v>
      </c>
      <c r="C19">
        <v>7.0604048720550719E-2</v>
      </c>
      <c r="D19">
        <v>-0.12980208043347649</v>
      </c>
    </row>
    <row r="20" spans="2:4" x14ac:dyDescent="0.2">
      <c r="B20">
        <v>3.8335110894277082E-2</v>
      </c>
      <c r="C20">
        <v>-0.24896992749648716</v>
      </c>
      <c r="D20">
        <v>-4.3845615784631975E-2</v>
      </c>
    </row>
    <row r="21" spans="2:4" x14ac:dyDescent="0.2">
      <c r="B21">
        <v>0.55671671530480249</v>
      </c>
      <c r="C21">
        <v>-9.7776599040862666E-2</v>
      </c>
      <c r="D21">
        <v>-8.6837515614926045E-2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6F046-01ED-BC4D-8A68-AB418E354338}">
  <sheetPr codeName="XLSTAT_20201111_105027_1_HID"/>
  <dimension ref="B2:D9"/>
  <sheetViews>
    <sheetView workbookViewId="0"/>
  </sheetViews>
  <sheetFormatPr baseColWidth="10" defaultRowHeight="16" x14ac:dyDescent="0.2"/>
  <sheetData>
    <row r="2" spans="2:4" x14ac:dyDescent="0.2">
      <c r="B2">
        <v>-0.30982921947066844</v>
      </c>
      <c r="C2">
        <v>-8.32418275160315E-2</v>
      </c>
      <c r="D2">
        <v>3.0831964689933281E-2</v>
      </c>
    </row>
    <row r="3" spans="2:4" x14ac:dyDescent="0.2">
      <c r="B3">
        <v>0.32728599522832652</v>
      </c>
      <c r="C3">
        <v>2.8319486446806603E-2</v>
      </c>
      <c r="D3">
        <v>5.2681731788272151E-2</v>
      </c>
    </row>
    <row r="4" spans="2:4" x14ac:dyDescent="0.2">
      <c r="B4">
        <v>-0.11406699933653273</v>
      </c>
      <c r="C4">
        <v>0.24061774338814571</v>
      </c>
      <c r="D4">
        <v>-3.278601917744714E-2</v>
      </c>
    </row>
    <row r="5" spans="2:4" x14ac:dyDescent="0.2">
      <c r="B5">
        <v>0.14086123223717584</v>
      </c>
      <c r="C5">
        <v>-0.1283018806182126</v>
      </c>
      <c r="D5">
        <v>-6.4077095602740261E-2</v>
      </c>
    </row>
    <row r="6" spans="2:4" x14ac:dyDescent="0.2">
      <c r="B6">
        <v>-0.42103382828937214</v>
      </c>
      <c r="C6">
        <v>-8.2750720674978934E-2</v>
      </c>
      <c r="D6">
        <v>-3.907445599114099E-2</v>
      </c>
    </row>
    <row r="7" spans="2:4" x14ac:dyDescent="0.2">
      <c r="B7">
        <v>0.13191532749039275</v>
      </c>
      <c r="C7">
        <v>-9.4156308193406243E-2</v>
      </c>
      <c r="D7">
        <v>3.0952643090215649E-2</v>
      </c>
    </row>
    <row r="8" spans="2:4" x14ac:dyDescent="0.2">
      <c r="B8">
        <v>0.73380892034019096</v>
      </c>
      <c r="C8">
        <v>-6.2858124122315034E-2</v>
      </c>
      <c r="D8">
        <v>-0.20373229565886836</v>
      </c>
    </row>
    <row r="9" spans="2:4" x14ac:dyDescent="0.2">
      <c r="B9">
        <v>1.9906510796259022E-3</v>
      </c>
      <c r="C9">
        <v>0.20329525347754621</v>
      </c>
      <c r="D9">
        <v>3.4670203940858303E-3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B646F-D1A0-2145-B835-9F7F743E5CBC}">
  <sheetPr codeName="XLSTAT_20201111_104356_1_HID"/>
  <dimension ref="B2:D24"/>
  <sheetViews>
    <sheetView workbookViewId="0"/>
  </sheetViews>
  <sheetFormatPr baseColWidth="10" defaultRowHeight="16" x14ac:dyDescent="0.2"/>
  <sheetData>
    <row r="2" spans="2:4" x14ac:dyDescent="0.2">
      <c r="B2">
        <v>1.2312465768102881E-4</v>
      </c>
      <c r="C2">
        <v>-0.24442851093395951</v>
      </c>
      <c r="D2">
        <v>-0.22801997016810735</v>
      </c>
    </row>
    <row r="3" spans="2:4" x14ac:dyDescent="0.2">
      <c r="B3">
        <v>-0.2708810675780301</v>
      </c>
      <c r="C3">
        <v>0.25246930972486981</v>
      </c>
      <c r="D3">
        <v>-7.520827808339961E-2</v>
      </c>
    </row>
    <row r="4" spans="2:4" x14ac:dyDescent="0.2">
      <c r="B4">
        <v>0.38865790960031821</v>
      </c>
      <c r="C4">
        <v>0.11068649445449542</v>
      </c>
      <c r="D4">
        <v>3.7851434007625064E-2</v>
      </c>
    </row>
    <row r="5" spans="2:4" x14ac:dyDescent="0.2">
      <c r="B5">
        <v>-0.14908150884063653</v>
      </c>
      <c r="C5">
        <v>-0.15003455524429082</v>
      </c>
      <c r="D5">
        <v>0.24533568253888891</v>
      </c>
    </row>
    <row r="6" spans="2:4" x14ac:dyDescent="0.2">
      <c r="B6">
        <v>0.10242916628457482</v>
      </c>
      <c r="C6">
        <v>-0.35577270752906126</v>
      </c>
      <c r="D6">
        <v>-0.14230888685739745</v>
      </c>
    </row>
    <row r="7" spans="2:4" x14ac:dyDescent="0.2">
      <c r="B7">
        <v>-1.0638793933429411</v>
      </c>
      <c r="C7">
        <v>1.2842853709537099</v>
      </c>
      <c r="D7">
        <v>-0.44388353420663351</v>
      </c>
    </row>
    <row r="8" spans="2:4" x14ac:dyDescent="0.2">
      <c r="B8">
        <v>-0.26244383060684046</v>
      </c>
      <c r="C8">
        <v>-8.4550928097638228E-2</v>
      </c>
      <c r="D8">
        <v>-1.8299615756028984E-2</v>
      </c>
    </row>
    <row r="9" spans="2:4" x14ac:dyDescent="0.2">
      <c r="B9">
        <v>0.49366869566301524</v>
      </c>
      <c r="C9">
        <v>-0.4247748096709118</v>
      </c>
      <c r="D9">
        <v>-0.15935717595561313</v>
      </c>
    </row>
    <row r="10" spans="2:4" x14ac:dyDescent="0.2">
      <c r="B10">
        <v>-6.0647571616354451E-2</v>
      </c>
      <c r="C10">
        <v>0.20766538477371996</v>
      </c>
      <c r="D10">
        <v>1.1571415697435028E-2</v>
      </c>
    </row>
    <row r="11" spans="2:4" x14ac:dyDescent="0.2">
      <c r="B11">
        <v>-0.58551432406156956</v>
      </c>
      <c r="C11">
        <v>-0.76321032702062308</v>
      </c>
      <c r="D11">
        <v>1.4479851501399525</v>
      </c>
    </row>
    <row r="12" spans="2:4" x14ac:dyDescent="0.2">
      <c r="B12">
        <v>-2.5559547259746417E-2</v>
      </c>
      <c r="C12">
        <v>-2.8880263295824376E-4</v>
      </c>
      <c r="D12">
        <v>7.2668055377557925E-2</v>
      </c>
    </row>
    <row r="13" spans="2:4" x14ac:dyDescent="0.2">
      <c r="B13">
        <v>0.17049560739301178</v>
      </c>
      <c r="C13">
        <v>-0.21519950668993615</v>
      </c>
      <c r="D13">
        <v>-0.27216107512536064</v>
      </c>
    </row>
    <row r="14" spans="2:4" x14ac:dyDescent="0.2">
      <c r="B14">
        <v>-0.10988736405512171</v>
      </c>
      <c r="C14">
        <v>-0.14315650744592076</v>
      </c>
      <c r="D14">
        <v>0.18150847165734532</v>
      </c>
    </row>
    <row r="15" spans="2:4" x14ac:dyDescent="0.2">
      <c r="B15">
        <v>0.10242916628457485</v>
      </c>
      <c r="C15">
        <v>-0.35577270752906143</v>
      </c>
      <c r="D15">
        <v>-0.14230888685739743</v>
      </c>
    </row>
    <row r="16" spans="2:4" x14ac:dyDescent="0.2">
      <c r="B16">
        <v>0.3845324117362483</v>
      </c>
      <c r="C16">
        <v>0.10674428096148095</v>
      </c>
      <c r="D16">
        <v>-0.28045749144322407</v>
      </c>
    </row>
    <row r="17" spans="2:4" x14ac:dyDescent="0.2">
      <c r="B17">
        <v>-0.2427821831669901</v>
      </c>
      <c r="C17">
        <v>-0.29488849975684023</v>
      </c>
      <c r="D17">
        <v>-0.12726627882956001</v>
      </c>
    </row>
    <row r="18" spans="2:4" x14ac:dyDescent="0.2">
      <c r="B18">
        <v>0.31240766991441021</v>
      </c>
      <c r="C18">
        <v>5.0619035411980186E-2</v>
      </c>
      <c r="D18">
        <v>0.1568017750212371</v>
      </c>
    </row>
    <row r="19" spans="2:4" x14ac:dyDescent="0.2">
      <c r="B19">
        <v>0.13999879272896287</v>
      </c>
      <c r="C19">
        <v>-7.6586124622778882E-3</v>
      </c>
      <c r="D19">
        <v>0.10266240567824868</v>
      </c>
    </row>
    <row r="20" spans="2:4" x14ac:dyDescent="0.2">
      <c r="B20">
        <v>1.526445331822289</v>
      </c>
      <c r="C20">
        <v>0.56305079514404932</v>
      </c>
      <c r="D20">
        <v>0.22340131605542404</v>
      </c>
    </row>
    <row r="21" spans="2:4" x14ac:dyDescent="0.2">
      <c r="B21">
        <v>-0.26368577649825481</v>
      </c>
      <c r="C21">
        <v>0.38815997380563022</v>
      </c>
      <c r="D21">
        <v>2.4605773838865187E-2</v>
      </c>
    </row>
    <row r="22" spans="2:4" x14ac:dyDescent="0.2">
      <c r="B22">
        <v>0.47046550388035957</v>
      </c>
      <c r="C22">
        <v>-0.1000797659382866</v>
      </c>
      <c r="D22">
        <v>0.83569323309768784</v>
      </c>
    </row>
    <row r="23" spans="2:4" x14ac:dyDescent="0.2">
      <c r="B23">
        <v>-0.69143782267160958</v>
      </c>
      <c r="C23">
        <v>0.2695951207388827</v>
      </c>
      <c r="D23">
        <v>-0.43130323553077821</v>
      </c>
    </row>
    <row r="24" spans="2:4" x14ac:dyDescent="0.2">
      <c r="B24">
        <v>0.84039758388537433</v>
      </c>
      <c r="C24">
        <v>0.38218431595314833</v>
      </c>
      <c r="D24">
        <v>-0.14934418349989523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QAQC</vt:lpstr>
      <vt:lpstr>All</vt:lpstr>
      <vt:lpstr>Mouthfeel</vt:lpstr>
      <vt:lpstr>CATA_Mouthfeel</vt:lpstr>
      <vt:lpstr>Taste</vt:lpstr>
      <vt:lpstr>XLSTAT_20201111_110229_1_HID</vt:lpstr>
      <vt:lpstr>CATA_Taste</vt:lpstr>
      <vt:lpstr>Aroma_Primary</vt:lpstr>
      <vt:lpstr>CATA_Aroma_Primary</vt:lpstr>
      <vt:lpstr>FilterLenient</vt:lpstr>
      <vt:lpstr>XLSTAT_20210228_143815_1_HID</vt:lpstr>
      <vt:lpstr>CATA_FilterLenient</vt:lpstr>
      <vt:lpstr>CATA_FilterLenient_McNemar</vt:lpstr>
      <vt:lpstr>XLSTAT_20201111_150415_1_HID</vt:lpstr>
      <vt:lpstr>XLSTAT_20201111_105027_1_HID</vt:lpstr>
      <vt:lpstr>XLSTAT_20201111_104356_1_HID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2020-11-11T16:05:35Z</dcterms:created>
  <dcterms:modified xsi:type="dcterms:W3CDTF">2022-05-12T17:51:20Z</dcterms:modified>
</cp:coreProperties>
</file>